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uis Hernandez\Battery Depot\Junta Operaciones\2026\Marzo 2026\6 Abril 2026\"/>
    </mc:Choice>
  </mc:AlternateContent>
  <xr:revisionPtr revIDLastSave="0" documentId="13_ncr:1_{1C4CF28D-2714-4083-BA35-DF6C009A01DC}" xr6:coauthVersionLast="47" xr6:coauthVersionMax="47" xr10:uidLastSave="{00000000-0000-0000-0000-000000000000}"/>
  <bookViews>
    <workbookView xWindow="-108" yWindow="-108" windowWidth="23256" windowHeight="13896" firstSheet="1" activeTab="3" xr2:uid="{88D35D36-BFFD-4E3A-BEC6-B56F74F64A79}"/>
  </bookViews>
  <sheets>
    <sheet name="Mar2025 a Feb2026" sheetId="1" r:id="rId1"/>
    <sheet name="12 Meses" sheetId="2" r:id="rId2"/>
    <sheet name="Sep2025 a Feb2026" sheetId="3" r:id="rId3"/>
    <sheet name="6 Meses" sheetId="4" r:id="rId4"/>
    <sheet name="Info junta semanal" sheetId="5" r:id="rId5"/>
  </sheets>
  <definedNames>
    <definedName name="_xlnm._FilterDatabase" localSheetId="1" hidden="1">'12 Meses'!$A$1:$N$116</definedName>
    <definedName name="_xlnm._FilterDatabase" localSheetId="3" hidden="1">'6 Meses'!$A$1:$N$120</definedName>
    <definedName name="_xlnm._FilterDatabase" localSheetId="4" hidden="1">'Info junta semanal'!$A$1:$T$248</definedName>
    <definedName name="_xlnm._FilterDatabase" localSheetId="0" hidden="1">'Mar2025 a Feb2026'!$A$1:$M$365</definedName>
    <definedName name="_xlnm._FilterDatabase" localSheetId="2" hidden="1">'Sep2025 a Feb2026'!$A$1:$M$366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20" i="4" l="1"/>
  <c r="X123" i="4" l="1"/>
  <c r="Y123" i="4" l="1"/>
  <c r="Y124" i="4"/>
  <c r="Y125" i="4"/>
  <c r="Y126" i="4"/>
  <c r="Y127" i="4"/>
  <c r="Y128" i="4"/>
  <c r="Y129" i="4"/>
  <c r="Y130" i="4"/>
  <c r="Y131" i="4"/>
  <c r="Y122" i="4"/>
  <c r="X124" i="4"/>
  <c r="X125" i="4"/>
  <c r="X132" i="4" s="1"/>
  <c r="X133" i="4" s="1"/>
  <c r="X126" i="4"/>
  <c r="X127" i="4"/>
  <c r="X128" i="4"/>
  <c r="X129" i="4"/>
  <c r="X130" i="4"/>
  <c r="X131" i="4"/>
  <c r="X122" i="4"/>
  <c r="X120" i="4"/>
  <c r="X3" i="4"/>
  <c r="Y3" i="4" s="1"/>
  <c r="X4" i="4"/>
  <c r="Y4" i="4" s="1"/>
  <c r="X5" i="4"/>
  <c r="Y5" i="4" s="1"/>
  <c r="X6" i="4"/>
  <c r="Y6" i="4"/>
  <c r="X7" i="4"/>
  <c r="Y7" i="4"/>
  <c r="X8" i="4"/>
  <c r="Y8" i="4"/>
  <c r="X9" i="4"/>
  <c r="Y9" i="4"/>
  <c r="X10" i="4"/>
  <c r="Y10" i="4"/>
  <c r="X11" i="4"/>
  <c r="Y11" i="4" s="1"/>
  <c r="X12" i="4"/>
  <c r="Y12" i="4"/>
  <c r="X13" i="4"/>
  <c r="Y13" i="4" s="1"/>
  <c r="X14" i="4"/>
  <c r="Y14" i="4"/>
  <c r="X15" i="4"/>
  <c r="Y15" i="4"/>
  <c r="X16" i="4"/>
  <c r="Y16" i="4" s="1"/>
  <c r="X17" i="4"/>
  <c r="Y17" i="4"/>
  <c r="X18" i="4"/>
  <c r="Y18" i="4"/>
  <c r="X19" i="4"/>
  <c r="Y19" i="4" s="1"/>
  <c r="X20" i="4"/>
  <c r="Y20" i="4"/>
  <c r="X21" i="4"/>
  <c r="Y21" i="4" s="1"/>
  <c r="X22" i="4"/>
  <c r="Y22" i="4"/>
  <c r="X23" i="4"/>
  <c r="Y23" i="4"/>
  <c r="X24" i="4"/>
  <c r="Y24" i="4"/>
  <c r="X25" i="4"/>
  <c r="Y25" i="4"/>
  <c r="X26" i="4"/>
  <c r="Y26" i="4"/>
  <c r="X27" i="4"/>
  <c r="Y27" i="4" s="1"/>
  <c r="X28" i="4"/>
  <c r="Y28" i="4"/>
  <c r="X29" i="4"/>
  <c r="Y29" i="4" s="1"/>
  <c r="X30" i="4"/>
  <c r="Y30" i="4"/>
  <c r="X31" i="4"/>
  <c r="Y31" i="4"/>
  <c r="X32" i="4"/>
  <c r="Y32" i="4"/>
  <c r="X33" i="4"/>
  <c r="Y33" i="4"/>
  <c r="X34" i="4"/>
  <c r="Y34" i="4"/>
  <c r="X35" i="4"/>
  <c r="Y35" i="4" s="1"/>
  <c r="X36" i="4"/>
  <c r="Y36" i="4"/>
  <c r="X37" i="4"/>
  <c r="Y37" i="4" s="1"/>
  <c r="X38" i="4"/>
  <c r="Y38" i="4"/>
  <c r="X39" i="4"/>
  <c r="Y39" i="4"/>
  <c r="X40" i="4"/>
  <c r="Y40" i="4"/>
  <c r="X41" i="4"/>
  <c r="Y41" i="4"/>
  <c r="X42" i="4"/>
  <c r="Y42" i="4"/>
  <c r="X43" i="4"/>
  <c r="Y43" i="4" s="1"/>
  <c r="X44" i="4"/>
  <c r="Y44" i="4"/>
  <c r="X45" i="4"/>
  <c r="Y45" i="4" s="1"/>
  <c r="X46" i="4"/>
  <c r="Y46" i="4"/>
  <c r="X47" i="4"/>
  <c r="Y47" i="4"/>
  <c r="X48" i="4"/>
  <c r="Y48" i="4"/>
  <c r="X49" i="4"/>
  <c r="Y49" i="4"/>
  <c r="X50" i="4"/>
  <c r="Y50" i="4"/>
  <c r="X51" i="4"/>
  <c r="Y51" i="4" s="1"/>
  <c r="X52" i="4"/>
  <c r="Y52" i="4"/>
  <c r="X53" i="4"/>
  <c r="Y53" i="4" s="1"/>
  <c r="X54" i="4"/>
  <c r="Y54" i="4"/>
  <c r="X55" i="4"/>
  <c r="Y55" i="4"/>
  <c r="X56" i="4"/>
  <c r="Y56" i="4"/>
  <c r="X57" i="4"/>
  <c r="Y57" i="4"/>
  <c r="X58" i="4"/>
  <c r="Y58" i="4"/>
  <c r="X59" i="4"/>
  <c r="Y59" i="4" s="1"/>
  <c r="X60" i="4"/>
  <c r="Y60" i="4"/>
  <c r="X61" i="4"/>
  <c r="Y61" i="4" s="1"/>
  <c r="X62" i="4"/>
  <c r="Y62" i="4"/>
  <c r="X63" i="4"/>
  <c r="Y63" i="4"/>
  <c r="X64" i="4"/>
  <c r="Y64" i="4"/>
  <c r="X65" i="4"/>
  <c r="Y65" i="4"/>
  <c r="X66" i="4"/>
  <c r="Y66" i="4"/>
  <c r="X67" i="4"/>
  <c r="Y67" i="4" s="1"/>
  <c r="X68" i="4"/>
  <c r="Y68" i="4"/>
  <c r="X69" i="4"/>
  <c r="Y69" i="4" s="1"/>
  <c r="X70" i="4"/>
  <c r="Y70" i="4"/>
  <c r="X71" i="4"/>
  <c r="Y71" i="4"/>
  <c r="X72" i="4"/>
  <c r="Y72" i="4"/>
  <c r="X73" i="4"/>
  <c r="Y73" i="4"/>
  <c r="X74" i="4"/>
  <c r="Y74" i="4"/>
  <c r="X75" i="4"/>
  <c r="Y75" i="4" s="1"/>
  <c r="X76" i="4"/>
  <c r="Y76" i="4"/>
  <c r="X77" i="4"/>
  <c r="Y77" i="4" s="1"/>
  <c r="X78" i="4"/>
  <c r="Y78" i="4"/>
  <c r="X79" i="4"/>
  <c r="Y79" i="4"/>
  <c r="X80" i="4"/>
  <c r="Y80" i="4"/>
  <c r="X81" i="4"/>
  <c r="Y81" i="4"/>
  <c r="X82" i="4"/>
  <c r="Y82" i="4"/>
  <c r="X83" i="4"/>
  <c r="Y83" i="4" s="1"/>
  <c r="X84" i="4"/>
  <c r="Y84" i="4"/>
  <c r="X85" i="4"/>
  <c r="Y85" i="4" s="1"/>
  <c r="X86" i="4"/>
  <c r="Y86" i="4"/>
  <c r="X87" i="4"/>
  <c r="Y87" i="4"/>
  <c r="X88" i="4"/>
  <c r="Y88" i="4"/>
  <c r="X89" i="4"/>
  <c r="Y89" i="4"/>
  <c r="X90" i="4"/>
  <c r="Y90" i="4"/>
  <c r="X91" i="4"/>
  <c r="Y91" i="4" s="1"/>
  <c r="X92" i="4"/>
  <c r="Y92" i="4"/>
  <c r="X93" i="4"/>
  <c r="Y93" i="4" s="1"/>
  <c r="X94" i="4"/>
  <c r="Y94" i="4"/>
  <c r="X95" i="4"/>
  <c r="Y95" i="4"/>
  <c r="X96" i="4"/>
  <c r="Y96" i="4"/>
  <c r="X97" i="4"/>
  <c r="Y97" i="4"/>
  <c r="X98" i="4"/>
  <c r="Y98" i="4"/>
  <c r="X99" i="4"/>
  <c r="Y99" i="4" s="1"/>
  <c r="X100" i="4"/>
  <c r="Y100" i="4"/>
  <c r="X101" i="4"/>
  <c r="Y101" i="4" s="1"/>
  <c r="X102" i="4"/>
  <c r="Y102" i="4"/>
  <c r="X103" i="4"/>
  <c r="Y103" i="4"/>
  <c r="X104" i="4"/>
  <c r="Y104" i="4"/>
  <c r="X105" i="4"/>
  <c r="Y105" i="4"/>
  <c r="X106" i="4"/>
  <c r="Y106" i="4"/>
  <c r="X107" i="4"/>
  <c r="Y107" i="4" s="1"/>
  <c r="X108" i="4"/>
  <c r="Y108" i="4"/>
  <c r="X109" i="4"/>
  <c r="Y109" i="4" s="1"/>
  <c r="X110" i="4"/>
  <c r="Y110" i="4"/>
  <c r="X111" i="4"/>
  <c r="Y111" i="4"/>
  <c r="X112" i="4"/>
  <c r="Y112" i="4"/>
  <c r="X113" i="4"/>
  <c r="Y113" i="4"/>
  <c r="X114" i="4"/>
  <c r="Y114" i="4"/>
  <c r="X115" i="4"/>
  <c r="Y115" i="4" s="1"/>
  <c r="X116" i="4"/>
  <c r="Y116" i="4"/>
  <c r="X117" i="4"/>
  <c r="Y117" i="4" s="1"/>
  <c r="X118" i="4"/>
  <c r="Y118" i="4"/>
  <c r="X119" i="4"/>
  <c r="Y119" i="4"/>
  <c r="Y2" i="4"/>
  <c r="X2" i="4"/>
  <c r="AI50" i="4"/>
  <c r="AI15" i="4"/>
  <c r="AI14" i="4"/>
  <c r="AI12" i="4"/>
  <c r="AI8" i="4"/>
  <c r="AI4" i="4"/>
  <c r="AI2" i="4"/>
  <c r="AK16" i="4"/>
  <c r="AK17" i="4"/>
  <c r="AK18" i="4"/>
  <c r="AK19" i="4"/>
  <c r="AK22" i="4"/>
  <c r="AK27" i="4"/>
  <c r="AK29" i="4"/>
  <c r="AK30" i="4"/>
  <c r="AK33" i="4"/>
  <c r="AK34" i="4"/>
  <c r="AK40" i="4"/>
  <c r="AK46" i="4"/>
  <c r="AK49" i="4"/>
  <c r="AK50" i="4"/>
  <c r="AK54" i="4"/>
  <c r="AK55" i="4"/>
  <c r="AK56" i="4"/>
  <c r="AK62" i="4"/>
  <c r="AK63" i="4"/>
  <c r="AK64" i="4"/>
  <c r="AK65" i="4"/>
  <c r="AK66" i="4"/>
  <c r="AK67" i="4"/>
  <c r="AK70" i="4"/>
  <c r="AK75" i="4"/>
  <c r="AK76" i="4"/>
  <c r="AK77" i="4"/>
  <c r="AK78" i="4"/>
  <c r="AK80" i="4"/>
  <c r="AK81" i="4"/>
  <c r="AK82" i="4"/>
  <c r="AK83" i="4"/>
  <c r="AK86" i="4"/>
  <c r="AK94" i="4"/>
  <c r="AK97" i="4"/>
  <c r="AK98" i="4"/>
  <c r="AK99" i="4"/>
  <c r="AK104" i="4"/>
  <c r="AK109" i="4"/>
  <c r="AK110" i="4"/>
  <c r="AK112" i="4"/>
  <c r="AK113" i="4"/>
  <c r="AK114" i="4"/>
  <c r="AK118" i="4"/>
  <c r="AK119" i="4"/>
  <c r="AK2" i="4"/>
  <c r="W3" i="4"/>
  <c r="W4" i="4"/>
  <c r="W5" i="4"/>
  <c r="W6" i="4"/>
  <c r="W122" i="4" s="1"/>
  <c r="W7" i="4"/>
  <c r="W8" i="4"/>
  <c r="W9" i="4"/>
  <c r="W10" i="4"/>
  <c r="W11" i="4"/>
  <c r="W12" i="4"/>
  <c r="W13" i="4"/>
  <c r="W14" i="4"/>
  <c r="W15" i="4"/>
  <c r="W129" i="4" s="1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130" i="4" s="1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2" i="4"/>
  <c r="AK15" i="4"/>
  <c r="AK14" i="4"/>
  <c r="AK12" i="4"/>
  <c r="AK8" i="4"/>
  <c r="AK4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29" i="4" s="1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131" i="4" s="1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2" i="4"/>
  <c r="AK11" i="4"/>
  <c r="AK26" i="4"/>
  <c r="AK28" i="4"/>
  <c r="AK39" i="4"/>
  <c r="AK41" i="4"/>
  <c r="AK42" i="4"/>
  <c r="AK43" i="4"/>
  <c r="AK44" i="4"/>
  <c r="AK48" i="4"/>
  <c r="AK57" i="4"/>
  <c r="AK58" i="4"/>
  <c r="AK60" i="4"/>
  <c r="AK71" i="4"/>
  <c r="AK72" i="4"/>
  <c r="AK74" i="4"/>
  <c r="AK79" i="4"/>
  <c r="AK84" i="4"/>
  <c r="AK90" i="4"/>
  <c r="AK91" i="4"/>
  <c r="AK92" i="4"/>
  <c r="AK101" i="4"/>
  <c r="AK102" i="4"/>
  <c r="AK103" i="4"/>
  <c r="AK105" i="4"/>
  <c r="AK107" i="4"/>
  <c r="AK108" i="4"/>
  <c r="AK111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29" i="4" s="1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2" i="4"/>
  <c r="AK13" i="4"/>
  <c r="AK59" i="4"/>
  <c r="AK61" i="4"/>
  <c r="AK88" i="4"/>
  <c r="AK89" i="4"/>
  <c r="AK93" i="4"/>
  <c r="AK95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29" i="4" s="1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131" i="4" s="1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2" i="4"/>
  <c r="AK10" i="4"/>
  <c r="AK106" i="4"/>
  <c r="AK115" i="4"/>
  <c r="AK3" i="4"/>
  <c r="AK5" i="4"/>
  <c r="AK6" i="4"/>
  <c r="AK7" i="4"/>
  <c r="AK9" i="4"/>
  <c r="AK20" i="4"/>
  <c r="AK21" i="4"/>
  <c r="AK23" i="4"/>
  <c r="AK24" i="4"/>
  <c r="AK25" i="4"/>
  <c r="AK31" i="4"/>
  <c r="AK32" i="4"/>
  <c r="AK35" i="4"/>
  <c r="AK36" i="4"/>
  <c r="AK37" i="4"/>
  <c r="AK38" i="4"/>
  <c r="AK45" i="4"/>
  <c r="AK47" i="4"/>
  <c r="AK51" i="4"/>
  <c r="AK52" i="4"/>
  <c r="AK53" i="4"/>
  <c r="AK68" i="4"/>
  <c r="AK69" i="4"/>
  <c r="AK73" i="4"/>
  <c r="AK85" i="4"/>
  <c r="AK87" i="4"/>
  <c r="AK96" i="4"/>
  <c r="AK100" i="4"/>
  <c r="AK116" i="4"/>
  <c r="AK117" i="4"/>
  <c r="W128" i="4" l="1"/>
  <c r="W126" i="4"/>
  <c r="W124" i="4"/>
  <c r="W120" i="4"/>
  <c r="W125" i="4"/>
  <c r="W123" i="4"/>
  <c r="W127" i="4"/>
  <c r="W131" i="4"/>
  <c r="V128" i="4"/>
  <c r="V127" i="4"/>
  <c r="V126" i="4"/>
  <c r="V130" i="4"/>
  <c r="V124" i="4"/>
  <c r="V120" i="4"/>
  <c r="V122" i="4"/>
  <c r="V123" i="4"/>
  <c r="V125" i="4"/>
  <c r="U125" i="4"/>
  <c r="U122" i="4"/>
  <c r="U127" i="4"/>
  <c r="U124" i="4"/>
  <c r="U126" i="4"/>
  <c r="U130" i="4"/>
  <c r="U120" i="4"/>
  <c r="U123" i="4"/>
  <c r="U128" i="4"/>
  <c r="U131" i="4"/>
  <c r="T127" i="4"/>
  <c r="T125" i="4"/>
  <c r="T130" i="4"/>
  <c r="T123" i="4"/>
  <c r="T122" i="4"/>
  <c r="T126" i="4"/>
  <c r="T128" i="4"/>
  <c r="T124" i="4"/>
  <c r="T120" i="4"/>
  <c r="W132" i="4" l="1"/>
  <c r="W133" i="4" s="1"/>
  <c r="V132" i="4"/>
  <c r="V133" i="4" s="1"/>
  <c r="U132" i="4"/>
  <c r="U133" i="4" s="1"/>
  <c r="T132" i="4"/>
  <c r="T133" i="4" s="1"/>
  <c r="I247" i="5" l="1"/>
  <c r="J247" i="5" s="1"/>
  <c r="E247" i="5"/>
  <c r="I246" i="5"/>
  <c r="J246" i="5" s="1"/>
  <c r="E246" i="5"/>
  <c r="I245" i="5"/>
  <c r="J245" i="5" s="1"/>
  <c r="E245" i="5"/>
  <c r="I244" i="5"/>
  <c r="J244" i="5" s="1"/>
  <c r="E244" i="5"/>
  <c r="I243" i="5"/>
  <c r="J243" i="5" s="1"/>
  <c r="E243" i="5"/>
  <c r="I242" i="5"/>
  <c r="J242" i="5" s="1"/>
  <c r="E242" i="5"/>
  <c r="I241" i="5"/>
  <c r="J241" i="5" s="1"/>
  <c r="E241" i="5"/>
  <c r="I240" i="5"/>
  <c r="J240" i="5" s="1"/>
  <c r="E240" i="5"/>
  <c r="I239" i="5"/>
  <c r="J239" i="5" s="1"/>
  <c r="E239" i="5"/>
  <c r="I238" i="5"/>
  <c r="J238" i="5" s="1"/>
  <c r="E238" i="5"/>
  <c r="I237" i="5"/>
  <c r="J237" i="5" s="1"/>
  <c r="E237" i="5"/>
  <c r="I236" i="5"/>
  <c r="J236" i="5" s="1"/>
  <c r="E236" i="5"/>
  <c r="I235" i="5"/>
  <c r="J235" i="5" s="1"/>
  <c r="E235" i="5"/>
  <c r="I234" i="5"/>
  <c r="J234" i="5" s="1"/>
  <c r="E234" i="5"/>
  <c r="I233" i="5"/>
  <c r="J233" i="5" s="1"/>
  <c r="E233" i="5"/>
  <c r="I232" i="5"/>
  <c r="J232" i="5" s="1"/>
  <c r="E232" i="5"/>
  <c r="I231" i="5"/>
  <c r="J231" i="5" s="1"/>
  <c r="E231" i="5"/>
  <c r="I230" i="5"/>
  <c r="J230" i="5" s="1"/>
  <c r="E230" i="5"/>
  <c r="I229" i="5"/>
  <c r="J229" i="5" s="1"/>
  <c r="E229" i="5"/>
  <c r="I228" i="5"/>
  <c r="J228" i="5" s="1"/>
  <c r="E228" i="5"/>
  <c r="I227" i="5"/>
  <c r="J227" i="5" s="1"/>
  <c r="E227" i="5"/>
  <c r="I226" i="5"/>
  <c r="J226" i="5" s="1"/>
  <c r="E226" i="5"/>
  <c r="I225" i="5"/>
  <c r="J225" i="5" s="1"/>
  <c r="E225" i="5"/>
  <c r="I224" i="5"/>
  <c r="J224" i="5" s="1"/>
  <c r="E224" i="5"/>
  <c r="I223" i="5"/>
  <c r="J223" i="5" s="1"/>
  <c r="E223" i="5"/>
  <c r="I222" i="5"/>
  <c r="J222" i="5" s="1"/>
  <c r="E222" i="5"/>
  <c r="I221" i="5"/>
  <c r="J221" i="5" s="1"/>
  <c r="E221" i="5"/>
  <c r="I220" i="5"/>
  <c r="J220" i="5" s="1"/>
  <c r="E220" i="5"/>
  <c r="I219" i="5"/>
  <c r="J219" i="5" s="1"/>
  <c r="E219" i="5"/>
  <c r="I218" i="5"/>
  <c r="J218" i="5" s="1"/>
  <c r="E218" i="5"/>
  <c r="I217" i="5"/>
  <c r="J217" i="5" s="1"/>
  <c r="E217" i="5"/>
  <c r="I216" i="5"/>
  <c r="J216" i="5" s="1"/>
  <c r="E216" i="5"/>
  <c r="I215" i="5"/>
  <c r="J215" i="5" s="1"/>
  <c r="E215" i="5"/>
  <c r="I214" i="5"/>
  <c r="J214" i="5" s="1"/>
  <c r="E214" i="5"/>
  <c r="I213" i="5"/>
  <c r="J213" i="5" s="1"/>
  <c r="E213" i="5"/>
  <c r="I212" i="5"/>
  <c r="J212" i="5" s="1"/>
  <c r="E212" i="5"/>
  <c r="I211" i="5"/>
  <c r="C211" i="5"/>
  <c r="I210" i="5"/>
  <c r="J210" i="5" s="1"/>
  <c r="E210" i="5"/>
  <c r="I209" i="5"/>
  <c r="C209" i="5"/>
  <c r="E209" i="5" s="1"/>
  <c r="I208" i="5"/>
  <c r="C208" i="5"/>
  <c r="E208" i="5" s="1"/>
  <c r="I207" i="5"/>
  <c r="J207" i="5" s="1"/>
  <c r="E207" i="5"/>
  <c r="I206" i="5"/>
  <c r="J206" i="5" s="1"/>
  <c r="E206" i="5"/>
  <c r="I205" i="5"/>
  <c r="J205" i="5" s="1"/>
  <c r="E205" i="5"/>
  <c r="I204" i="5"/>
  <c r="J204" i="5" s="1"/>
  <c r="E204" i="5"/>
  <c r="I203" i="5"/>
  <c r="E203" i="5"/>
  <c r="C203" i="5"/>
  <c r="J203" i="5" s="1"/>
  <c r="I202" i="5"/>
  <c r="J202" i="5" s="1"/>
  <c r="E202" i="5"/>
  <c r="I201" i="5"/>
  <c r="J201" i="5" s="1"/>
  <c r="E201" i="5"/>
  <c r="I200" i="5"/>
  <c r="J200" i="5" s="1"/>
  <c r="E200" i="5"/>
  <c r="I199" i="5"/>
  <c r="J199" i="5" s="1"/>
  <c r="E199" i="5"/>
  <c r="I198" i="5"/>
  <c r="J198" i="5" s="1"/>
  <c r="E198" i="5"/>
  <c r="I197" i="5"/>
  <c r="J197" i="5" s="1"/>
  <c r="E197" i="5"/>
  <c r="I196" i="5"/>
  <c r="J196" i="5" s="1"/>
  <c r="E196" i="5"/>
  <c r="I195" i="5"/>
  <c r="J195" i="5" s="1"/>
  <c r="E195" i="5"/>
  <c r="I194" i="5"/>
  <c r="J194" i="5" s="1"/>
  <c r="E194" i="5"/>
  <c r="I193" i="5"/>
  <c r="J193" i="5" s="1"/>
  <c r="E193" i="5"/>
  <c r="I192" i="5"/>
  <c r="J192" i="5" s="1"/>
  <c r="E192" i="5"/>
  <c r="I191" i="5"/>
  <c r="J191" i="5" s="1"/>
  <c r="E191" i="5"/>
  <c r="I190" i="5"/>
  <c r="J190" i="5" s="1"/>
  <c r="E190" i="5"/>
  <c r="I189" i="5"/>
  <c r="J189" i="5" s="1"/>
  <c r="E189" i="5"/>
  <c r="I188" i="5"/>
  <c r="J188" i="5" s="1"/>
  <c r="E188" i="5"/>
  <c r="I187" i="5"/>
  <c r="J187" i="5" s="1"/>
  <c r="E187" i="5"/>
  <c r="I186" i="5"/>
  <c r="J186" i="5" s="1"/>
  <c r="E186" i="5"/>
  <c r="I185" i="5"/>
  <c r="J185" i="5" s="1"/>
  <c r="E185" i="5"/>
  <c r="I184" i="5"/>
  <c r="J184" i="5" s="1"/>
  <c r="E184" i="5"/>
  <c r="I183" i="5"/>
  <c r="J183" i="5" s="1"/>
  <c r="E183" i="5"/>
  <c r="I182" i="5"/>
  <c r="J182" i="5" s="1"/>
  <c r="E182" i="5"/>
  <c r="I181" i="5"/>
  <c r="J181" i="5" s="1"/>
  <c r="E181" i="5"/>
  <c r="I180" i="5"/>
  <c r="J180" i="5" s="1"/>
  <c r="E180" i="5"/>
  <c r="I179" i="5"/>
  <c r="C179" i="5"/>
  <c r="I178" i="5"/>
  <c r="J178" i="5" s="1"/>
  <c r="E178" i="5"/>
  <c r="I177" i="5"/>
  <c r="J177" i="5" s="1"/>
  <c r="E177" i="5"/>
  <c r="I176" i="5"/>
  <c r="C176" i="5"/>
  <c r="E176" i="5" s="1"/>
  <c r="I175" i="5"/>
  <c r="J175" i="5" s="1"/>
  <c r="E175" i="5"/>
  <c r="I174" i="5"/>
  <c r="J174" i="5" s="1"/>
  <c r="E174" i="5"/>
  <c r="I173" i="5"/>
  <c r="J173" i="5" s="1"/>
  <c r="E173" i="5"/>
  <c r="I172" i="5"/>
  <c r="J172" i="5" s="1"/>
  <c r="E172" i="5"/>
  <c r="I171" i="5"/>
  <c r="C171" i="5"/>
  <c r="E171" i="5" s="1"/>
  <c r="I170" i="5"/>
  <c r="J170" i="5" s="1"/>
  <c r="E170" i="5"/>
  <c r="S169" i="5"/>
  <c r="T169" i="5" s="1"/>
  <c r="O169" i="5"/>
  <c r="P169" i="5" s="1"/>
  <c r="Q169" i="5" s="1"/>
  <c r="I169" i="5"/>
  <c r="J169" i="5" s="1"/>
  <c r="E169" i="5"/>
  <c r="I168" i="5"/>
  <c r="J168" i="5" s="1"/>
  <c r="E168" i="5"/>
  <c r="I167" i="5"/>
  <c r="J167" i="5" s="1"/>
  <c r="E167" i="5"/>
  <c r="I166" i="5"/>
  <c r="J166" i="5" s="1"/>
  <c r="E166" i="5"/>
  <c r="I165" i="5"/>
  <c r="J165" i="5" s="1"/>
  <c r="E165" i="5"/>
  <c r="I164" i="5"/>
  <c r="J164" i="5" s="1"/>
  <c r="E164" i="5"/>
  <c r="I163" i="5"/>
  <c r="J163" i="5" s="1"/>
  <c r="E163" i="5"/>
  <c r="I162" i="5"/>
  <c r="J162" i="5" s="1"/>
  <c r="E162" i="5"/>
  <c r="I161" i="5"/>
  <c r="J161" i="5" s="1"/>
  <c r="E161" i="5"/>
  <c r="I160" i="5"/>
  <c r="J160" i="5" s="1"/>
  <c r="E160" i="5"/>
  <c r="I159" i="5"/>
  <c r="J159" i="5" s="1"/>
  <c r="E159" i="5"/>
  <c r="I158" i="5"/>
  <c r="J158" i="5" s="1"/>
  <c r="E158" i="5"/>
  <c r="I157" i="5"/>
  <c r="J157" i="5" s="1"/>
  <c r="E157" i="5"/>
  <c r="I156" i="5"/>
  <c r="J156" i="5" s="1"/>
  <c r="E156" i="5"/>
  <c r="I155" i="5"/>
  <c r="J155" i="5" s="1"/>
  <c r="E155" i="5"/>
  <c r="I154" i="5"/>
  <c r="J154" i="5" s="1"/>
  <c r="E154" i="5"/>
  <c r="I153" i="5"/>
  <c r="J153" i="5" s="1"/>
  <c r="E153" i="5"/>
  <c r="I152" i="5"/>
  <c r="J152" i="5" s="1"/>
  <c r="E152" i="5"/>
  <c r="I151" i="5"/>
  <c r="J151" i="5" s="1"/>
  <c r="E151" i="5"/>
  <c r="I150" i="5"/>
  <c r="J150" i="5" s="1"/>
  <c r="E150" i="5"/>
  <c r="I149" i="5"/>
  <c r="J149" i="5" s="1"/>
  <c r="E149" i="5"/>
  <c r="I148" i="5"/>
  <c r="J148" i="5" s="1"/>
  <c r="E148" i="5"/>
  <c r="I147" i="5"/>
  <c r="J147" i="5" s="1"/>
  <c r="E147" i="5"/>
  <c r="I146" i="5"/>
  <c r="J146" i="5" s="1"/>
  <c r="E146" i="5"/>
  <c r="I145" i="5"/>
  <c r="J145" i="5" s="1"/>
  <c r="E145" i="5"/>
  <c r="I144" i="5"/>
  <c r="J144" i="5" s="1"/>
  <c r="E144" i="5"/>
  <c r="I143" i="5"/>
  <c r="J143" i="5" s="1"/>
  <c r="E143" i="5"/>
  <c r="I142" i="5"/>
  <c r="J142" i="5" s="1"/>
  <c r="E142" i="5"/>
  <c r="I141" i="5"/>
  <c r="J141" i="5" s="1"/>
  <c r="E141" i="5"/>
  <c r="I140" i="5"/>
  <c r="J140" i="5" s="1"/>
  <c r="E140" i="5"/>
  <c r="I139" i="5"/>
  <c r="J139" i="5" s="1"/>
  <c r="E139" i="5"/>
  <c r="I138" i="5"/>
  <c r="J138" i="5" s="1"/>
  <c r="E138" i="5"/>
  <c r="I137" i="5"/>
  <c r="J137" i="5" s="1"/>
  <c r="E137" i="5"/>
  <c r="I136" i="5"/>
  <c r="J136" i="5" s="1"/>
  <c r="E136" i="5"/>
  <c r="I135" i="5"/>
  <c r="J135" i="5" s="1"/>
  <c r="E135" i="5"/>
  <c r="I134" i="5"/>
  <c r="J134" i="5" s="1"/>
  <c r="E134" i="5"/>
  <c r="I133" i="5"/>
  <c r="J133" i="5" s="1"/>
  <c r="E133" i="5"/>
  <c r="I132" i="5"/>
  <c r="J132" i="5" s="1"/>
  <c r="E132" i="5"/>
  <c r="I131" i="5"/>
  <c r="J131" i="5" s="1"/>
  <c r="E131" i="5"/>
  <c r="I130" i="5"/>
  <c r="J130" i="5" s="1"/>
  <c r="E130" i="5"/>
  <c r="I129" i="5"/>
  <c r="J129" i="5" s="1"/>
  <c r="E129" i="5"/>
  <c r="I128" i="5"/>
  <c r="J128" i="5" s="1"/>
  <c r="E128" i="5"/>
  <c r="I127" i="5"/>
  <c r="J127" i="5" s="1"/>
  <c r="E127" i="5"/>
  <c r="I126" i="5"/>
  <c r="J126" i="5" s="1"/>
  <c r="E126" i="5"/>
  <c r="I125" i="5"/>
  <c r="J125" i="5" s="1"/>
  <c r="E125" i="5"/>
  <c r="I124" i="5"/>
  <c r="C124" i="5"/>
  <c r="I123" i="5"/>
  <c r="J123" i="5" s="1"/>
  <c r="E123" i="5"/>
  <c r="I122" i="5"/>
  <c r="J122" i="5" s="1"/>
  <c r="E122" i="5"/>
  <c r="I121" i="5"/>
  <c r="J121" i="5" s="1"/>
  <c r="E121" i="5"/>
  <c r="I120" i="5"/>
  <c r="C120" i="5"/>
  <c r="I119" i="5"/>
  <c r="J119" i="5" s="1"/>
  <c r="E119" i="5"/>
  <c r="I118" i="5"/>
  <c r="J118" i="5" s="1"/>
  <c r="E118" i="5"/>
  <c r="I117" i="5"/>
  <c r="J117" i="5" s="1"/>
  <c r="E117" i="5"/>
  <c r="I116" i="5"/>
  <c r="J116" i="5" s="1"/>
  <c r="E116" i="5"/>
  <c r="I115" i="5"/>
  <c r="J115" i="5" s="1"/>
  <c r="E115" i="5"/>
  <c r="I114" i="5"/>
  <c r="C114" i="5"/>
  <c r="E114" i="5" s="1"/>
  <c r="I113" i="5"/>
  <c r="J113" i="5" s="1"/>
  <c r="E113" i="5"/>
  <c r="I112" i="5"/>
  <c r="J112" i="5" s="1"/>
  <c r="E112" i="5"/>
  <c r="I111" i="5"/>
  <c r="C111" i="5"/>
  <c r="I110" i="5"/>
  <c r="J110" i="5" s="1"/>
  <c r="E110" i="5"/>
  <c r="I109" i="5"/>
  <c r="J109" i="5" s="1"/>
  <c r="E109" i="5"/>
  <c r="I108" i="5"/>
  <c r="J108" i="5" s="1"/>
  <c r="E108" i="5"/>
  <c r="I107" i="5"/>
  <c r="J107" i="5" s="1"/>
  <c r="E107" i="5"/>
  <c r="I106" i="5"/>
  <c r="J106" i="5" s="1"/>
  <c r="E106" i="5"/>
  <c r="I105" i="5"/>
  <c r="J105" i="5" s="1"/>
  <c r="E105" i="5"/>
  <c r="I104" i="5"/>
  <c r="J104" i="5" s="1"/>
  <c r="E104" i="5"/>
  <c r="I103" i="5"/>
  <c r="J103" i="5" s="1"/>
  <c r="E103" i="5"/>
  <c r="I102" i="5"/>
  <c r="J102" i="5" s="1"/>
  <c r="E102" i="5"/>
  <c r="I101" i="5"/>
  <c r="J101" i="5" s="1"/>
  <c r="E101" i="5"/>
  <c r="I100" i="5"/>
  <c r="J100" i="5" s="1"/>
  <c r="E100" i="5"/>
  <c r="I99" i="5"/>
  <c r="J99" i="5" s="1"/>
  <c r="E99" i="5"/>
  <c r="I98" i="5"/>
  <c r="J98" i="5" s="1"/>
  <c r="E98" i="5"/>
  <c r="I97" i="5"/>
  <c r="J97" i="5" s="1"/>
  <c r="E97" i="5"/>
  <c r="I96" i="5"/>
  <c r="J96" i="5" s="1"/>
  <c r="E96" i="5"/>
  <c r="I95" i="5"/>
  <c r="J95" i="5" s="1"/>
  <c r="E95" i="5"/>
  <c r="I94" i="5"/>
  <c r="J94" i="5" s="1"/>
  <c r="E94" i="5"/>
  <c r="I93" i="5"/>
  <c r="J93" i="5" s="1"/>
  <c r="E93" i="5"/>
  <c r="I92" i="5"/>
  <c r="J92" i="5" s="1"/>
  <c r="E92" i="5"/>
  <c r="I91" i="5"/>
  <c r="J91" i="5" s="1"/>
  <c r="E91" i="5"/>
  <c r="I90" i="5"/>
  <c r="J90" i="5" s="1"/>
  <c r="E90" i="5"/>
  <c r="I89" i="5"/>
  <c r="C89" i="5"/>
  <c r="I88" i="5"/>
  <c r="J88" i="5" s="1"/>
  <c r="E88" i="5"/>
  <c r="I87" i="5"/>
  <c r="J87" i="5" s="1"/>
  <c r="E87" i="5"/>
  <c r="I86" i="5"/>
  <c r="J86" i="5" s="1"/>
  <c r="E86" i="5"/>
  <c r="I85" i="5"/>
  <c r="J85" i="5" s="1"/>
  <c r="E85" i="5"/>
  <c r="I84" i="5"/>
  <c r="J84" i="5" s="1"/>
  <c r="E84" i="5"/>
  <c r="I83" i="5"/>
  <c r="J83" i="5" s="1"/>
  <c r="E83" i="5"/>
  <c r="H82" i="5"/>
  <c r="I82" i="5" s="1"/>
  <c r="J82" i="5" s="1"/>
  <c r="E82" i="5"/>
  <c r="I81" i="5"/>
  <c r="J81" i="5" s="1"/>
  <c r="E81" i="5"/>
  <c r="I80" i="5"/>
  <c r="J80" i="5" s="1"/>
  <c r="E80" i="5"/>
  <c r="I79" i="5"/>
  <c r="J79" i="5" s="1"/>
  <c r="E79" i="5"/>
  <c r="I78" i="5"/>
  <c r="J78" i="5" s="1"/>
  <c r="E78" i="5"/>
  <c r="I77" i="5"/>
  <c r="C77" i="5"/>
  <c r="I76" i="5"/>
  <c r="J76" i="5" s="1"/>
  <c r="E76" i="5"/>
  <c r="I75" i="5"/>
  <c r="J75" i="5" s="1"/>
  <c r="E75" i="5"/>
  <c r="I74" i="5"/>
  <c r="J74" i="5" s="1"/>
  <c r="E74" i="5"/>
  <c r="I73" i="5"/>
  <c r="J73" i="5" s="1"/>
  <c r="E73" i="5"/>
  <c r="I72" i="5"/>
  <c r="J72" i="5" s="1"/>
  <c r="E72" i="5"/>
  <c r="I71" i="5"/>
  <c r="J71" i="5" s="1"/>
  <c r="E71" i="5"/>
  <c r="I70" i="5"/>
  <c r="J70" i="5" s="1"/>
  <c r="E70" i="5"/>
  <c r="I69" i="5"/>
  <c r="J69" i="5" s="1"/>
  <c r="E69" i="5"/>
  <c r="J68" i="5"/>
  <c r="I68" i="5"/>
  <c r="E68" i="5"/>
  <c r="I67" i="5"/>
  <c r="J67" i="5" s="1"/>
  <c r="E67" i="5"/>
  <c r="I66" i="5"/>
  <c r="J66" i="5" s="1"/>
  <c r="E66" i="5"/>
  <c r="I65" i="5"/>
  <c r="J65" i="5" s="1"/>
  <c r="E65" i="5"/>
  <c r="I64" i="5"/>
  <c r="J64" i="5" s="1"/>
  <c r="E64" i="5"/>
  <c r="I63" i="5"/>
  <c r="J63" i="5" s="1"/>
  <c r="E63" i="5"/>
  <c r="I62" i="5"/>
  <c r="J62" i="5" s="1"/>
  <c r="E62" i="5"/>
  <c r="I61" i="5"/>
  <c r="J61" i="5" s="1"/>
  <c r="E61" i="5"/>
  <c r="I60" i="5"/>
  <c r="J60" i="5" s="1"/>
  <c r="E60" i="5"/>
  <c r="I59" i="5"/>
  <c r="J59" i="5" s="1"/>
  <c r="E59" i="5"/>
  <c r="I58" i="5"/>
  <c r="J58" i="5" s="1"/>
  <c r="E58" i="5"/>
  <c r="I57" i="5"/>
  <c r="J57" i="5" s="1"/>
  <c r="E57" i="5"/>
  <c r="I56" i="5"/>
  <c r="J56" i="5" s="1"/>
  <c r="E56" i="5"/>
  <c r="I55" i="5"/>
  <c r="J55" i="5" s="1"/>
  <c r="E55" i="5"/>
  <c r="I54" i="5"/>
  <c r="J54" i="5" s="1"/>
  <c r="E54" i="5"/>
  <c r="I53" i="5"/>
  <c r="J53" i="5" s="1"/>
  <c r="E53" i="5"/>
  <c r="I52" i="5"/>
  <c r="J52" i="5" s="1"/>
  <c r="E52" i="5"/>
  <c r="I51" i="5"/>
  <c r="J51" i="5" s="1"/>
  <c r="E51" i="5"/>
  <c r="I50" i="5"/>
  <c r="J50" i="5" s="1"/>
  <c r="E50" i="5"/>
  <c r="I49" i="5"/>
  <c r="J49" i="5" s="1"/>
  <c r="E49" i="5"/>
  <c r="I48" i="5"/>
  <c r="J48" i="5" s="1"/>
  <c r="E48" i="5"/>
  <c r="I47" i="5"/>
  <c r="J47" i="5" s="1"/>
  <c r="E47" i="5"/>
  <c r="I46" i="5"/>
  <c r="J46" i="5" s="1"/>
  <c r="E46" i="5"/>
  <c r="I45" i="5"/>
  <c r="J45" i="5" s="1"/>
  <c r="E45" i="5"/>
  <c r="J44" i="5"/>
  <c r="I44" i="5"/>
  <c r="E44" i="5"/>
  <c r="I43" i="5"/>
  <c r="J43" i="5" s="1"/>
  <c r="E43" i="5"/>
  <c r="I42" i="5"/>
  <c r="J42" i="5" s="1"/>
  <c r="E42" i="5"/>
  <c r="I41" i="5"/>
  <c r="J41" i="5" s="1"/>
  <c r="E41" i="5"/>
  <c r="I40" i="5"/>
  <c r="J40" i="5" s="1"/>
  <c r="E40" i="5"/>
  <c r="I39" i="5"/>
  <c r="J39" i="5" s="1"/>
  <c r="E39" i="5"/>
  <c r="I38" i="5"/>
  <c r="J38" i="5" s="1"/>
  <c r="E38" i="5"/>
  <c r="I37" i="5"/>
  <c r="J37" i="5" s="1"/>
  <c r="E37" i="5"/>
  <c r="I36" i="5"/>
  <c r="J36" i="5" s="1"/>
  <c r="E36" i="5"/>
  <c r="I35" i="5"/>
  <c r="J35" i="5" s="1"/>
  <c r="E35" i="5"/>
  <c r="I34" i="5"/>
  <c r="J34" i="5" s="1"/>
  <c r="E34" i="5"/>
  <c r="I33" i="5"/>
  <c r="J33" i="5" s="1"/>
  <c r="E33" i="5"/>
  <c r="I32" i="5"/>
  <c r="J32" i="5" s="1"/>
  <c r="E32" i="5"/>
  <c r="I31" i="5"/>
  <c r="J31" i="5" s="1"/>
  <c r="E31" i="5"/>
  <c r="I30" i="5"/>
  <c r="J30" i="5" s="1"/>
  <c r="E30" i="5"/>
  <c r="I29" i="5"/>
  <c r="J29" i="5" s="1"/>
  <c r="E29" i="5"/>
  <c r="I28" i="5"/>
  <c r="J28" i="5" s="1"/>
  <c r="E28" i="5"/>
  <c r="I27" i="5"/>
  <c r="J27" i="5" s="1"/>
  <c r="E27" i="5"/>
  <c r="I26" i="5"/>
  <c r="J26" i="5" s="1"/>
  <c r="E26" i="5"/>
  <c r="I25" i="5"/>
  <c r="J25" i="5" s="1"/>
  <c r="E25" i="5"/>
  <c r="I24" i="5"/>
  <c r="J24" i="5" s="1"/>
  <c r="E24" i="5"/>
  <c r="I23" i="5"/>
  <c r="J23" i="5" s="1"/>
  <c r="E23" i="5"/>
  <c r="I22" i="5"/>
  <c r="J22" i="5" s="1"/>
  <c r="E22" i="5"/>
  <c r="I21" i="5"/>
  <c r="J21" i="5" s="1"/>
  <c r="E21" i="5"/>
  <c r="I20" i="5"/>
  <c r="J20" i="5" s="1"/>
  <c r="E20" i="5"/>
  <c r="I19" i="5"/>
  <c r="J19" i="5" s="1"/>
  <c r="E19" i="5"/>
  <c r="I18" i="5"/>
  <c r="J18" i="5" s="1"/>
  <c r="E18" i="5"/>
  <c r="I17" i="5"/>
  <c r="J17" i="5" s="1"/>
  <c r="E17" i="5"/>
  <c r="I16" i="5"/>
  <c r="J16" i="5" s="1"/>
  <c r="E16" i="5"/>
  <c r="I15" i="5"/>
  <c r="J15" i="5" s="1"/>
  <c r="E15" i="5"/>
  <c r="I14" i="5"/>
  <c r="J14" i="5" s="1"/>
  <c r="E14" i="5"/>
  <c r="I13" i="5"/>
  <c r="J13" i="5" s="1"/>
  <c r="E13" i="5"/>
  <c r="I12" i="5"/>
  <c r="J12" i="5" s="1"/>
  <c r="E12" i="5"/>
  <c r="I11" i="5"/>
  <c r="J11" i="5" s="1"/>
  <c r="E11" i="5"/>
  <c r="I10" i="5"/>
  <c r="J10" i="5" s="1"/>
  <c r="E10" i="5"/>
  <c r="I9" i="5"/>
  <c r="J9" i="5" s="1"/>
  <c r="E9" i="5"/>
  <c r="I8" i="5"/>
  <c r="J8" i="5" s="1"/>
  <c r="E8" i="5"/>
  <c r="I7" i="5"/>
  <c r="C7" i="5"/>
  <c r="I6" i="5"/>
  <c r="J6" i="5" s="1"/>
  <c r="E6" i="5"/>
  <c r="I5" i="5"/>
  <c r="J5" i="5" s="1"/>
  <c r="E5" i="5"/>
  <c r="I4" i="5"/>
  <c r="J4" i="5" s="1"/>
  <c r="E4" i="5"/>
  <c r="I3" i="5"/>
  <c r="J3" i="5" s="1"/>
  <c r="E3" i="5"/>
  <c r="I2" i="5"/>
  <c r="J2" i="5" s="1"/>
  <c r="E2" i="5"/>
  <c r="J209" i="5" l="1"/>
  <c r="J124" i="5"/>
  <c r="J77" i="5"/>
  <c r="J208" i="5"/>
  <c r="J89" i="5"/>
  <c r="J179" i="5"/>
  <c r="E124" i="5"/>
  <c r="E77" i="5"/>
  <c r="E179" i="5"/>
  <c r="J7" i="5"/>
  <c r="J176" i="5"/>
  <c r="J120" i="5"/>
  <c r="J171" i="5"/>
  <c r="J211" i="5"/>
  <c r="J111" i="5"/>
  <c r="E111" i="5"/>
  <c r="J114" i="5"/>
  <c r="E120" i="5"/>
  <c r="E211" i="5"/>
  <c r="E7" i="5"/>
  <c r="E89" i="5"/>
  <c r="T250" i="3"/>
  <c r="S250" i="3"/>
  <c r="P250" i="3"/>
  <c r="Q250" i="3" s="1"/>
  <c r="O250" i="3"/>
  <c r="E248" i="5" l="1"/>
  <c r="F99" i="4"/>
  <c r="F74" i="4"/>
  <c r="F106" i="4"/>
  <c r="F114" i="4"/>
  <c r="F23" i="4"/>
  <c r="F3" i="4"/>
  <c r="F46" i="4"/>
  <c r="F65" i="4"/>
  <c r="F75" i="4"/>
  <c r="F6" i="4"/>
  <c r="F5" i="4"/>
  <c r="F30" i="4"/>
  <c r="F97" i="4"/>
  <c r="F7" i="4"/>
  <c r="F73" i="4"/>
  <c r="F42" i="4"/>
  <c r="F67" i="4"/>
  <c r="F80" i="4"/>
  <c r="F71" i="4"/>
  <c r="F98" i="4"/>
  <c r="F54" i="4"/>
  <c r="F90" i="4"/>
  <c r="F83" i="4"/>
  <c r="F63" i="4"/>
  <c r="F35" i="4"/>
  <c r="F64" i="4"/>
  <c r="F58" i="4"/>
  <c r="F56" i="4"/>
  <c r="F94" i="4"/>
  <c r="F28" i="4"/>
  <c r="F10" i="4"/>
  <c r="F119" i="4"/>
  <c r="F66" i="4"/>
  <c r="F45" i="4"/>
  <c r="F51" i="4"/>
  <c r="F60" i="4"/>
  <c r="F115" i="4"/>
  <c r="F77" i="4"/>
  <c r="F70" i="4"/>
  <c r="F40" i="4"/>
  <c r="F111" i="4"/>
  <c r="F102" i="4"/>
  <c r="F57" i="4"/>
  <c r="F69" i="4"/>
  <c r="F37" i="4"/>
  <c r="F84" i="4"/>
  <c r="F100" i="4"/>
  <c r="F59" i="4"/>
  <c r="F109" i="4"/>
  <c r="F116" i="4"/>
  <c r="F85" i="4"/>
  <c r="F4" i="4"/>
  <c r="F17" i="4"/>
  <c r="F112" i="4"/>
  <c r="F105" i="4"/>
  <c r="F113" i="4"/>
  <c r="F118" i="4"/>
  <c r="F13" i="4"/>
  <c r="F49" i="4"/>
  <c r="F117" i="4"/>
  <c r="F19" i="4"/>
  <c r="F33" i="4"/>
  <c r="F47" i="4"/>
  <c r="F18" i="4"/>
  <c r="F43" i="4"/>
  <c r="F2" i="4"/>
  <c r="F25" i="4"/>
  <c r="F24" i="4"/>
  <c r="F8" i="4"/>
  <c r="F41" i="4"/>
  <c r="F29" i="4"/>
  <c r="F9" i="4"/>
  <c r="F44" i="4"/>
  <c r="F38" i="4"/>
  <c r="F31" i="4"/>
  <c r="F53" i="4"/>
  <c r="F48" i="4"/>
  <c r="F22" i="4"/>
  <c r="F11" i="4"/>
  <c r="F34" i="4"/>
  <c r="F20" i="4"/>
  <c r="F26" i="4"/>
  <c r="F87" i="4"/>
  <c r="F104" i="4"/>
  <c r="F32" i="4"/>
  <c r="F15" i="4"/>
  <c r="F76" i="4"/>
  <c r="F92" i="4"/>
  <c r="F82" i="4"/>
  <c r="F78" i="4"/>
  <c r="F81" i="4"/>
  <c r="F88" i="4"/>
  <c r="F89" i="4"/>
  <c r="F96" i="4"/>
  <c r="F91" i="4"/>
  <c r="F95" i="4"/>
  <c r="F79" i="4"/>
  <c r="F108" i="4"/>
  <c r="F52" i="4"/>
  <c r="F101" i="4"/>
  <c r="F61" i="4"/>
  <c r="F39" i="4"/>
  <c r="F36" i="4"/>
  <c r="F55" i="4"/>
  <c r="F27" i="4"/>
  <c r="F62" i="4"/>
  <c r="F68" i="4"/>
  <c r="F93" i="4"/>
  <c r="F110" i="4"/>
  <c r="F72" i="4"/>
  <c r="F86" i="4"/>
  <c r="F103" i="4"/>
  <c r="F107" i="4"/>
  <c r="F21" i="4"/>
  <c r="F14" i="4"/>
  <c r="F12" i="4"/>
  <c r="F16" i="4"/>
  <c r="F50" i="4"/>
  <c r="C23" i="4"/>
  <c r="C3" i="4"/>
  <c r="C46" i="4"/>
  <c r="C65" i="4"/>
  <c r="C75" i="4"/>
  <c r="C6" i="4"/>
  <c r="C5" i="4"/>
  <c r="C30" i="4"/>
  <c r="C97" i="4"/>
  <c r="C7" i="4"/>
  <c r="C80" i="4"/>
  <c r="C54" i="4"/>
  <c r="C35" i="4"/>
  <c r="C10" i="4"/>
  <c r="C40" i="4"/>
  <c r="C109" i="4"/>
  <c r="C4" i="4"/>
  <c r="C13" i="4"/>
  <c r="C49" i="4"/>
  <c r="C19" i="4"/>
  <c r="C33" i="4"/>
  <c r="C2" i="4"/>
  <c r="C8" i="4"/>
  <c r="C41" i="4"/>
  <c r="C29" i="4"/>
  <c r="C44" i="4"/>
  <c r="C48" i="4"/>
  <c r="C32" i="4"/>
  <c r="C15" i="4"/>
  <c r="C79" i="4"/>
  <c r="C39" i="4"/>
  <c r="C36" i="4"/>
  <c r="C55" i="4"/>
  <c r="C27" i="4"/>
  <c r="C62" i="4"/>
  <c r="C93" i="4"/>
  <c r="C86" i="4"/>
  <c r="C21" i="4"/>
  <c r="C14" i="4"/>
  <c r="C12" i="4"/>
  <c r="C50" i="4"/>
  <c r="J99" i="4"/>
  <c r="K99" i="4" s="1"/>
  <c r="J74" i="4"/>
  <c r="K74" i="4" s="1"/>
  <c r="J106" i="4"/>
  <c r="K106" i="4" s="1"/>
  <c r="J114" i="4"/>
  <c r="K114" i="4" s="1"/>
  <c r="J23" i="4"/>
  <c r="K23" i="4" s="1"/>
  <c r="J3" i="4"/>
  <c r="K3" i="4" s="1"/>
  <c r="J46" i="4"/>
  <c r="K46" i="4" s="1"/>
  <c r="J65" i="4"/>
  <c r="K65" i="4" s="1"/>
  <c r="J75" i="4"/>
  <c r="K75" i="4" s="1"/>
  <c r="J6" i="4"/>
  <c r="K6" i="4" s="1"/>
  <c r="J5" i="4"/>
  <c r="K5" i="4" s="1"/>
  <c r="J30" i="4"/>
  <c r="K30" i="4" s="1"/>
  <c r="J97" i="4"/>
  <c r="K97" i="4" s="1"/>
  <c r="J7" i="4"/>
  <c r="K7" i="4" s="1"/>
  <c r="J73" i="4"/>
  <c r="K73" i="4" s="1"/>
  <c r="J42" i="4"/>
  <c r="K42" i="4" s="1"/>
  <c r="J67" i="4"/>
  <c r="K67" i="4" s="1"/>
  <c r="J80" i="4"/>
  <c r="K80" i="4" s="1"/>
  <c r="J71" i="4"/>
  <c r="K71" i="4" s="1"/>
  <c r="J98" i="4"/>
  <c r="K98" i="4" s="1"/>
  <c r="J54" i="4"/>
  <c r="K54" i="4" s="1"/>
  <c r="J90" i="4"/>
  <c r="K90" i="4" s="1"/>
  <c r="J83" i="4"/>
  <c r="K83" i="4" s="1"/>
  <c r="J63" i="4"/>
  <c r="K63" i="4" s="1"/>
  <c r="J35" i="4"/>
  <c r="K35" i="4" s="1"/>
  <c r="J64" i="4"/>
  <c r="K64" i="4" s="1"/>
  <c r="C64" i="4"/>
  <c r="J58" i="4"/>
  <c r="K58" i="4" s="1"/>
  <c r="C58" i="4"/>
  <c r="J56" i="4"/>
  <c r="K56" i="4" s="1"/>
  <c r="J94" i="4"/>
  <c r="K94" i="4" s="1"/>
  <c r="J28" i="4"/>
  <c r="K28" i="4" s="1"/>
  <c r="J10" i="4"/>
  <c r="K10" i="4" s="1"/>
  <c r="J119" i="4"/>
  <c r="K119" i="4" s="1"/>
  <c r="J66" i="4"/>
  <c r="K66" i="4" s="1"/>
  <c r="J45" i="4"/>
  <c r="K45" i="4" s="1"/>
  <c r="J51" i="4"/>
  <c r="K51" i="4" s="1"/>
  <c r="J60" i="4"/>
  <c r="K60" i="4" s="1"/>
  <c r="J115" i="4"/>
  <c r="K115" i="4" s="1"/>
  <c r="J77" i="4"/>
  <c r="K77" i="4" s="1"/>
  <c r="J70" i="4"/>
  <c r="K70" i="4" s="1"/>
  <c r="J40" i="4"/>
  <c r="K40" i="4" s="1"/>
  <c r="J111" i="4"/>
  <c r="K111" i="4" s="1"/>
  <c r="J102" i="4"/>
  <c r="K102" i="4" s="1"/>
  <c r="J57" i="4"/>
  <c r="K57" i="4" s="1"/>
  <c r="J69" i="4"/>
  <c r="K69" i="4" s="1"/>
  <c r="J37" i="4"/>
  <c r="K37" i="4" s="1"/>
  <c r="J84" i="4"/>
  <c r="K84" i="4" s="1"/>
  <c r="J100" i="4"/>
  <c r="K100" i="4" s="1"/>
  <c r="J59" i="4"/>
  <c r="K59" i="4" s="1"/>
  <c r="J109" i="4"/>
  <c r="K109" i="4" s="1"/>
  <c r="J116" i="4"/>
  <c r="K116" i="4" s="1"/>
  <c r="J85" i="4"/>
  <c r="K85" i="4" s="1"/>
  <c r="J4" i="4"/>
  <c r="K4" i="4" s="1"/>
  <c r="J17" i="4"/>
  <c r="K17" i="4" s="1"/>
  <c r="J112" i="4"/>
  <c r="K112" i="4" s="1"/>
  <c r="J105" i="4"/>
  <c r="K105" i="4" s="1"/>
  <c r="J113" i="4"/>
  <c r="K113" i="4" s="1"/>
  <c r="J118" i="4"/>
  <c r="K118" i="4" s="1"/>
  <c r="J13" i="4"/>
  <c r="K13" i="4" s="1"/>
  <c r="J49" i="4"/>
  <c r="K49" i="4" s="1"/>
  <c r="J117" i="4"/>
  <c r="K117" i="4" s="1"/>
  <c r="J19" i="4"/>
  <c r="K19" i="4" s="1"/>
  <c r="J33" i="4"/>
  <c r="K33" i="4" s="1"/>
  <c r="J47" i="4"/>
  <c r="K47" i="4" s="1"/>
  <c r="J18" i="4"/>
  <c r="K18" i="4" s="1"/>
  <c r="J43" i="4"/>
  <c r="K43" i="4" s="1"/>
  <c r="J2" i="4"/>
  <c r="K2" i="4" s="1"/>
  <c r="J25" i="4"/>
  <c r="K25" i="4" s="1"/>
  <c r="J24" i="4"/>
  <c r="K24" i="4" s="1"/>
  <c r="I8" i="4"/>
  <c r="J8" i="4" s="1"/>
  <c r="K8" i="4" s="1"/>
  <c r="J41" i="4"/>
  <c r="K41" i="4" s="1"/>
  <c r="J29" i="4"/>
  <c r="K29" i="4" s="1"/>
  <c r="J9" i="4"/>
  <c r="K9" i="4" s="1"/>
  <c r="J44" i="4"/>
  <c r="K44" i="4" s="1"/>
  <c r="J38" i="4"/>
  <c r="K38" i="4" s="1"/>
  <c r="J31" i="4"/>
  <c r="K31" i="4" s="1"/>
  <c r="J53" i="4"/>
  <c r="K53" i="4" s="1"/>
  <c r="J48" i="4"/>
  <c r="K48" i="4" s="1"/>
  <c r="J22" i="4"/>
  <c r="K22" i="4" s="1"/>
  <c r="J11" i="4"/>
  <c r="K11" i="4" s="1"/>
  <c r="J34" i="4"/>
  <c r="K34" i="4" s="1"/>
  <c r="J20" i="4"/>
  <c r="K20" i="4" s="1"/>
  <c r="J26" i="4"/>
  <c r="K26" i="4" s="1"/>
  <c r="J87" i="4"/>
  <c r="K87" i="4" s="1"/>
  <c r="J104" i="4"/>
  <c r="K104" i="4" s="1"/>
  <c r="J32" i="4"/>
  <c r="K32" i="4" s="1"/>
  <c r="J15" i="4"/>
  <c r="K15" i="4" s="1"/>
  <c r="J76" i="4"/>
  <c r="K76" i="4" s="1"/>
  <c r="J92" i="4"/>
  <c r="K92" i="4" s="1"/>
  <c r="J82" i="4"/>
  <c r="K82" i="4" s="1"/>
  <c r="J78" i="4"/>
  <c r="K78" i="4" s="1"/>
  <c r="J81" i="4"/>
  <c r="K81" i="4" s="1"/>
  <c r="J88" i="4"/>
  <c r="K88" i="4" s="1"/>
  <c r="J89" i="4"/>
  <c r="K89" i="4" s="1"/>
  <c r="J96" i="4"/>
  <c r="K96" i="4" s="1"/>
  <c r="J91" i="4"/>
  <c r="K91" i="4" s="1"/>
  <c r="J95" i="4"/>
  <c r="K95" i="4" s="1"/>
  <c r="J79" i="4"/>
  <c r="K79" i="4" s="1"/>
  <c r="J108" i="4"/>
  <c r="K108" i="4" s="1"/>
  <c r="J52" i="4"/>
  <c r="K52" i="4" s="1"/>
  <c r="J101" i="4"/>
  <c r="K101" i="4" s="1"/>
  <c r="J61" i="4"/>
  <c r="K61" i="4" s="1"/>
  <c r="J39" i="4"/>
  <c r="K39" i="4" s="1"/>
  <c r="J36" i="4"/>
  <c r="K36" i="4" s="1"/>
  <c r="J55" i="4"/>
  <c r="K55" i="4" s="1"/>
  <c r="J27" i="4"/>
  <c r="K27" i="4" s="1"/>
  <c r="J62" i="4"/>
  <c r="K62" i="4" s="1"/>
  <c r="J68" i="4"/>
  <c r="K68" i="4" s="1"/>
  <c r="J93" i="4"/>
  <c r="K93" i="4" s="1"/>
  <c r="J110" i="4"/>
  <c r="K110" i="4" s="1"/>
  <c r="J72" i="4"/>
  <c r="K72" i="4" s="1"/>
  <c r="J86" i="4"/>
  <c r="K86" i="4" s="1"/>
  <c r="J103" i="4"/>
  <c r="K103" i="4" s="1"/>
  <c r="J107" i="4"/>
  <c r="K107" i="4" s="1"/>
  <c r="J21" i="4"/>
  <c r="K21" i="4" s="1"/>
  <c r="J14" i="4"/>
  <c r="K14" i="4" s="1"/>
  <c r="J12" i="4"/>
  <c r="K12" i="4" s="1"/>
  <c r="J16" i="4"/>
  <c r="K16" i="4" s="1"/>
  <c r="J50" i="4"/>
  <c r="K50" i="4" s="1"/>
  <c r="I365" i="3"/>
  <c r="I364" i="3"/>
  <c r="I363" i="3"/>
  <c r="I362" i="3"/>
  <c r="I361" i="3"/>
  <c r="I360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C336" i="3"/>
  <c r="C334" i="3"/>
  <c r="I334" i="3"/>
  <c r="E334" i="3"/>
  <c r="C332" i="3"/>
  <c r="I332" i="3"/>
  <c r="I336" i="3"/>
  <c r="I335" i="3"/>
  <c r="I333" i="3"/>
  <c r="I331" i="3"/>
  <c r="I330" i="3"/>
  <c r="I329" i="3"/>
  <c r="I328" i="3"/>
  <c r="I327" i="3"/>
  <c r="C326" i="3"/>
  <c r="I326" i="3"/>
  <c r="I325" i="3"/>
  <c r="I324" i="3"/>
  <c r="I323" i="3"/>
  <c r="C322" i="3"/>
  <c r="I322" i="3"/>
  <c r="I321" i="3"/>
  <c r="I320" i="3"/>
  <c r="I319" i="3"/>
  <c r="I318" i="3"/>
  <c r="C317" i="3"/>
  <c r="C316" i="3"/>
  <c r="I317" i="3"/>
  <c r="I316" i="3"/>
  <c r="C315" i="3"/>
  <c r="C314" i="3"/>
  <c r="I315" i="3"/>
  <c r="I314" i="3"/>
  <c r="I313" i="3"/>
  <c r="C312" i="3"/>
  <c r="I312" i="3"/>
  <c r="I311" i="3"/>
  <c r="I310" i="3"/>
  <c r="I309" i="3"/>
  <c r="C308" i="3"/>
  <c r="C307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C282" i="3"/>
  <c r="I282" i="3"/>
  <c r="I281" i="3"/>
  <c r="I280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C240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C220" i="3"/>
  <c r="I220" i="3"/>
  <c r="I219" i="3"/>
  <c r="I218" i="3"/>
  <c r="I217" i="3"/>
  <c r="I216" i="3"/>
  <c r="C213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C185" i="3"/>
  <c r="C184" i="3"/>
  <c r="I185" i="3"/>
  <c r="I184" i="3"/>
  <c r="I183" i="3"/>
  <c r="I182" i="3"/>
  <c r="I181" i="3"/>
  <c r="I179" i="3"/>
  <c r="I178" i="3"/>
  <c r="I177" i="3"/>
  <c r="I176" i="3"/>
  <c r="I175" i="3"/>
  <c r="I174" i="3"/>
  <c r="I173" i="3"/>
  <c r="I172" i="3"/>
  <c r="I171" i="3"/>
  <c r="I170" i="3"/>
  <c r="I169" i="3"/>
  <c r="C168" i="3"/>
  <c r="C167" i="3"/>
  <c r="I168" i="3"/>
  <c r="I167" i="3"/>
  <c r="I166" i="3"/>
  <c r="I165" i="3"/>
  <c r="I164" i="3"/>
  <c r="I163" i="3"/>
  <c r="I162" i="3"/>
  <c r="I161" i="3"/>
  <c r="I160" i="3"/>
  <c r="I159" i="3"/>
  <c r="I158" i="3"/>
  <c r="H124" i="4" l="1"/>
  <c r="H127" i="4"/>
  <c r="H122" i="4"/>
  <c r="H131" i="4"/>
  <c r="H130" i="4"/>
  <c r="H126" i="4"/>
  <c r="H125" i="4"/>
  <c r="H129" i="4"/>
  <c r="H123" i="4"/>
  <c r="H128" i="4"/>
  <c r="F250" i="5"/>
  <c r="F120" i="4"/>
  <c r="J332" i="3"/>
  <c r="J334" i="3"/>
  <c r="E332" i="3"/>
  <c r="I157" i="3"/>
  <c r="I156" i="3"/>
  <c r="J156" i="3" s="1"/>
  <c r="I155" i="3"/>
  <c r="J155" i="3" s="1"/>
  <c r="I154" i="3"/>
  <c r="J154" i="3" s="1"/>
  <c r="I153" i="3"/>
  <c r="J153" i="3" s="1"/>
  <c r="I152" i="3"/>
  <c r="J152" i="3" s="1"/>
  <c r="I151" i="3"/>
  <c r="J151" i="3" s="1"/>
  <c r="I150" i="3"/>
  <c r="J150" i="3" s="1"/>
  <c r="I148" i="3"/>
  <c r="I146" i="3"/>
  <c r="J146" i="3" s="1"/>
  <c r="I145" i="3"/>
  <c r="J145" i="3" s="1"/>
  <c r="I144" i="3"/>
  <c r="I143" i="3"/>
  <c r="J143" i="3" s="1"/>
  <c r="I142" i="3"/>
  <c r="J142" i="3" s="1"/>
  <c r="I141" i="3"/>
  <c r="J141" i="3" s="1"/>
  <c r="I140" i="3"/>
  <c r="I139" i="3"/>
  <c r="J139" i="3" s="1"/>
  <c r="C138" i="3"/>
  <c r="I138" i="3"/>
  <c r="I137" i="3"/>
  <c r="J137" i="3" s="1"/>
  <c r="I136" i="3"/>
  <c r="J136" i="3" s="1"/>
  <c r="I135" i="3"/>
  <c r="J135" i="3" s="1"/>
  <c r="I134" i="3"/>
  <c r="J134" i="3" s="1"/>
  <c r="I133" i="3"/>
  <c r="J133" i="3" s="1"/>
  <c r="C132" i="3"/>
  <c r="H132" i="3"/>
  <c r="I132" i="3" s="1"/>
  <c r="H131" i="3"/>
  <c r="I131" i="3" s="1"/>
  <c r="J131" i="3" s="1"/>
  <c r="C129" i="3"/>
  <c r="C125" i="3"/>
  <c r="C124" i="3"/>
  <c r="C122" i="3"/>
  <c r="I130" i="3"/>
  <c r="I129" i="3"/>
  <c r="I128" i="3"/>
  <c r="J128" i="3" s="1"/>
  <c r="I127" i="3"/>
  <c r="J127" i="3" s="1"/>
  <c r="I126" i="3"/>
  <c r="J126" i="3" s="1"/>
  <c r="I125" i="3"/>
  <c r="I124" i="3"/>
  <c r="J124" i="3" s="1"/>
  <c r="I123" i="3"/>
  <c r="J123" i="3" s="1"/>
  <c r="I122" i="3"/>
  <c r="I121" i="3"/>
  <c r="I120" i="3"/>
  <c r="J120" i="3" s="1"/>
  <c r="I119" i="3"/>
  <c r="J119" i="3" s="1"/>
  <c r="I118" i="3"/>
  <c r="J118" i="3" s="1"/>
  <c r="I117" i="3"/>
  <c r="J117" i="3" s="1"/>
  <c r="I116" i="3"/>
  <c r="J116" i="3" s="1"/>
  <c r="C114" i="3"/>
  <c r="I115" i="3"/>
  <c r="J115" i="3" s="1"/>
  <c r="I114" i="3"/>
  <c r="I113" i="3"/>
  <c r="J113" i="3" s="1"/>
  <c r="I112" i="3"/>
  <c r="J112" i="3" s="1"/>
  <c r="I111" i="3"/>
  <c r="J111" i="3" s="1"/>
  <c r="I110" i="3"/>
  <c r="J110" i="3" s="1"/>
  <c r="I109" i="3"/>
  <c r="J109" i="3" s="1"/>
  <c r="I108" i="3"/>
  <c r="J108" i="3" s="1"/>
  <c r="I107" i="3"/>
  <c r="I106" i="3"/>
  <c r="I105" i="3"/>
  <c r="J105" i="3" s="1"/>
  <c r="I104" i="3"/>
  <c r="J104" i="3" s="1"/>
  <c r="I103" i="3"/>
  <c r="J103" i="3" s="1"/>
  <c r="I102" i="3"/>
  <c r="J102" i="3" s="1"/>
  <c r="I101" i="3"/>
  <c r="J101" i="3" s="1"/>
  <c r="I100" i="3"/>
  <c r="J100" i="3" s="1"/>
  <c r="I99" i="3"/>
  <c r="J99" i="3" s="1"/>
  <c r="I98" i="3"/>
  <c r="I97" i="3"/>
  <c r="J97" i="3" s="1"/>
  <c r="I96" i="3"/>
  <c r="J96" i="3" s="1"/>
  <c r="C95" i="3"/>
  <c r="I95" i="3"/>
  <c r="I94" i="3"/>
  <c r="J94" i="3" s="1"/>
  <c r="I93" i="3"/>
  <c r="J93" i="3" s="1"/>
  <c r="I92" i="3"/>
  <c r="I91" i="3"/>
  <c r="I90" i="3"/>
  <c r="I89" i="3"/>
  <c r="J89" i="3" s="1"/>
  <c r="I88" i="3"/>
  <c r="J88" i="3" s="1"/>
  <c r="I87" i="3"/>
  <c r="J87" i="3" s="1"/>
  <c r="I86" i="3"/>
  <c r="J86" i="3" s="1"/>
  <c r="I85" i="3"/>
  <c r="J85" i="3" s="1"/>
  <c r="I84" i="3"/>
  <c r="I83" i="3"/>
  <c r="I82" i="3"/>
  <c r="J82" i="3" s="1"/>
  <c r="I81" i="3"/>
  <c r="J81" i="3" s="1"/>
  <c r="I80" i="3"/>
  <c r="J80" i="3" s="1"/>
  <c r="I79" i="3"/>
  <c r="J79" i="3" s="1"/>
  <c r="I78" i="3"/>
  <c r="J78" i="3" s="1"/>
  <c r="I77" i="3"/>
  <c r="J77" i="3" s="1"/>
  <c r="I76" i="3"/>
  <c r="J76" i="3" s="1"/>
  <c r="I75" i="3"/>
  <c r="J75" i="3" s="1"/>
  <c r="I74" i="3"/>
  <c r="J74" i="3" s="1"/>
  <c r="I73" i="3"/>
  <c r="J73" i="3" s="1"/>
  <c r="I72" i="3"/>
  <c r="J72" i="3" s="1"/>
  <c r="I71" i="3"/>
  <c r="J71" i="3" s="1"/>
  <c r="C60" i="3"/>
  <c r="I66" i="3"/>
  <c r="J66" i="3" s="1"/>
  <c r="I67" i="3"/>
  <c r="J67" i="3" s="1"/>
  <c r="I68" i="3"/>
  <c r="I69" i="3"/>
  <c r="J69" i="3" s="1"/>
  <c r="I70" i="3"/>
  <c r="J70" i="3" s="1"/>
  <c r="I65" i="3"/>
  <c r="J65" i="3" s="1"/>
  <c r="I64" i="3"/>
  <c r="J64" i="3" s="1"/>
  <c r="I63" i="3"/>
  <c r="I62" i="3"/>
  <c r="J62" i="3" s="1"/>
  <c r="I61" i="3"/>
  <c r="J61" i="3" s="1"/>
  <c r="I60" i="3"/>
  <c r="I59" i="3"/>
  <c r="J59" i="3" s="1"/>
  <c r="I58" i="3"/>
  <c r="J58" i="3" s="1"/>
  <c r="I57" i="3"/>
  <c r="J57" i="3" s="1"/>
  <c r="I56" i="3"/>
  <c r="J56" i="3" s="1"/>
  <c r="I55" i="3"/>
  <c r="J55" i="3" s="1"/>
  <c r="I54" i="3"/>
  <c r="J54" i="3" s="1"/>
  <c r="I53" i="3"/>
  <c r="J53" i="3" s="1"/>
  <c r="C49" i="3"/>
  <c r="C47" i="3"/>
  <c r="I47" i="3"/>
  <c r="C40" i="3"/>
  <c r="C37" i="3"/>
  <c r="E37" i="3" s="1"/>
  <c r="I37" i="3"/>
  <c r="I52" i="3"/>
  <c r="J52" i="3" s="1"/>
  <c r="I51" i="3"/>
  <c r="J51" i="3" s="1"/>
  <c r="I50" i="3"/>
  <c r="I49" i="3"/>
  <c r="I48" i="3"/>
  <c r="J48" i="3" s="1"/>
  <c r="I46" i="3"/>
  <c r="J46" i="3" s="1"/>
  <c r="I45" i="3"/>
  <c r="J45" i="3" s="1"/>
  <c r="I44" i="3"/>
  <c r="J44" i="3" s="1"/>
  <c r="I43" i="3"/>
  <c r="J43" i="3" s="1"/>
  <c r="I41" i="3"/>
  <c r="J41" i="3" s="1"/>
  <c r="I40" i="3"/>
  <c r="I39" i="3"/>
  <c r="J39" i="3" s="1"/>
  <c r="I38" i="3"/>
  <c r="J38" i="3" s="1"/>
  <c r="I36" i="3"/>
  <c r="J36" i="3" s="1"/>
  <c r="I35" i="3"/>
  <c r="J35" i="3" s="1"/>
  <c r="I34" i="3"/>
  <c r="J34" i="3" s="1"/>
  <c r="I33" i="3"/>
  <c r="J33" i="3" s="1"/>
  <c r="C32" i="3"/>
  <c r="I32" i="3"/>
  <c r="I31" i="3"/>
  <c r="J31" i="3" s="1"/>
  <c r="I30" i="3"/>
  <c r="J30" i="3" s="1"/>
  <c r="I29" i="3"/>
  <c r="J29" i="3" s="1"/>
  <c r="I28" i="3"/>
  <c r="J28" i="3" s="1"/>
  <c r="I27" i="3"/>
  <c r="J27" i="3" s="1"/>
  <c r="I26" i="3"/>
  <c r="J26" i="3" s="1"/>
  <c r="C25" i="3"/>
  <c r="I25" i="3"/>
  <c r="I24" i="3"/>
  <c r="J24" i="3" s="1"/>
  <c r="I23" i="3"/>
  <c r="J23" i="3" s="1"/>
  <c r="I22" i="3"/>
  <c r="J22" i="3" s="1"/>
  <c r="C21" i="3"/>
  <c r="E21" i="3" s="1"/>
  <c r="I21" i="3"/>
  <c r="C14" i="3"/>
  <c r="C10" i="3"/>
  <c r="C9" i="3"/>
  <c r="C7" i="3"/>
  <c r="I20" i="3"/>
  <c r="J20" i="3" s="1"/>
  <c r="I18" i="3"/>
  <c r="J18" i="3" s="1"/>
  <c r="I17" i="3"/>
  <c r="J17" i="3" s="1"/>
  <c r="I16" i="3"/>
  <c r="J16" i="3" s="1"/>
  <c r="I14" i="3"/>
  <c r="I13" i="3"/>
  <c r="J13" i="3" s="1"/>
  <c r="I12" i="3"/>
  <c r="J12" i="3" s="1"/>
  <c r="I11" i="3"/>
  <c r="J11" i="3" s="1"/>
  <c r="I10" i="3"/>
  <c r="I9" i="3"/>
  <c r="J9" i="3" s="1"/>
  <c r="I8" i="3"/>
  <c r="J8" i="3" s="1"/>
  <c r="I7" i="3"/>
  <c r="I6" i="3"/>
  <c r="J6" i="3" s="1"/>
  <c r="J360" i="3"/>
  <c r="J352" i="3"/>
  <c r="J344" i="3"/>
  <c r="J318" i="3"/>
  <c r="J310" i="3"/>
  <c r="I279" i="3"/>
  <c r="J279" i="3" s="1"/>
  <c r="J271" i="3"/>
  <c r="J263" i="3"/>
  <c r="J255" i="3"/>
  <c r="J247" i="3"/>
  <c r="J231" i="3"/>
  <c r="J223" i="3"/>
  <c r="J207" i="3"/>
  <c r="J199" i="3"/>
  <c r="J191" i="3"/>
  <c r="J183" i="3"/>
  <c r="J159" i="3"/>
  <c r="I15" i="3"/>
  <c r="J15" i="3" s="1"/>
  <c r="I5" i="3"/>
  <c r="J5" i="3" s="1"/>
  <c r="J365" i="3"/>
  <c r="E365" i="3"/>
  <c r="J364" i="3"/>
  <c r="E364" i="3"/>
  <c r="J363" i="3"/>
  <c r="E363" i="3"/>
  <c r="J362" i="3"/>
  <c r="E362" i="3"/>
  <c r="J361" i="3"/>
  <c r="E361" i="3"/>
  <c r="E360" i="3"/>
  <c r="I359" i="3"/>
  <c r="J359" i="3" s="1"/>
  <c r="E359" i="3"/>
  <c r="J358" i="3"/>
  <c r="E358" i="3"/>
  <c r="J357" i="3"/>
  <c r="E357" i="3"/>
  <c r="J356" i="3"/>
  <c r="E356" i="3"/>
  <c r="J355" i="3"/>
  <c r="E355" i="3"/>
  <c r="J354" i="3"/>
  <c r="E354" i="3"/>
  <c r="J353" i="3"/>
  <c r="E353" i="3"/>
  <c r="E352" i="3"/>
  <c r="J351" i="3"/>
  <c r="E351" i="3"/>
  <c r="J350" i="3"/>
  <c r="E350" i="3"/>
  <c r="J349" i="3"/>
  <c r="E349" i="3"/>
  <c r="J348" i="3"/>
  <c r="E348" i="3"/>
  <c r="J347" i="3"/>
  <c r="E347" i="3"/>
  <c r="J346" i="3"/>
  <c r="E346" i="3"/>
  <c r="J345" i="3"/>
  <c r="E345" i="3"/>
  <c r="E344" i="3"/>
  <c r="J343" i="3"/>
  <c r="E343" i="3"/>
  <c r="J342" i="3"/>
  <c r="E342" i="3"/>
  <c r="J341" i="3"/>
  <c r="E341" i="3"/>
  <c r="J340" i="3"/>
  <c r="E340" i="3"/>
  <c r="J339" i="3"/>
  <c r="E339" i="3"/>
  <c r="J338" i="3"/>
  <c r="E338" i="3"/>
  <c r="J337" i="3"/>
  <c r="E337" i="3"/>
  <c r="J335" i="3"/>
  <c r="E335" i="3"/>
  <c r="J333" i="3"/>
  <c r="E333" i="3"/>
  <c r="J331" i="3"/>
  <c r="E331" i="3"/>
  <c r="J330" i="3"/>
  <c r="E330" i="3"/>
  <c r="J329" i="3"/>
  <c r="E329" i="3"/>
  <c r="J328" i="3"/>
  <c r="E328" i="3"/>
  <c r="J327" i="3"/>
  <c r="E327" i="3"/>
  <c r="E326" i="3"/>
  <c r="J325" i="3"/>
  <c r="E325" i="3"/>
  <c r="J324" i="3"/>
  <c r="E324" i="3"/>
  <c r="J323" i="3"/>
  <c r="E323" i="3"/>
  <c r="E322" i="3"/>
  <c r="J321" i="3"/>
  <c r="E321" i="3"/>
  <c r="C320" i="3"/>
  <c r="C319" i="3"/>
  <c r="E319" i="3" s="1"/>
  <c r="E318" i="3"/>
  <c r="E316" i="3"/>
  <c r="E314" i="3"/>
  <c r="J313" i="3"/>
  <c r="E313" i="3"/>
  <c r="E312" i="3"/>
  <c r="J311" i="3"/>
  <c r="E311" i="3"/>
  <c r="E310" i="3"/>
  <c r="J309" i="3"/>
  <c r="E309" i="3"/>
  <c r="E308" i="3"/>
  <c r="J306" i="3"/>
  <c r="E306" i="3"/>
  <c r="J305" i="3"/>
  <c r="E305" i="3"/>
  <c r="J304" i="3"/>
  <c r="E304" i="3"/>
  <c r="J303" i="3"/>
  <c r="E303" i="3"/>
  <c r="J302" i="3"/>
  <c r="E302" i="3"/>
  <c r="J301" i="3"/>
  <c r="E301" i="3"/>
  <c r="J300" i="3"/>
  <c r="E300" i="3"/>
  <c r="J299" i="3"/>
  <c r="E299" i="3"/>
  <c r="J298" i="3"/>
  <c r="E298" i="3"/>
  <c r="J297" i="3"/>
  <c r="E297" i="3"/>
  <c r="J296" i="3"/>
  <c r="E296" i="3"/>
  <c r="C295" i="3"/>
  <c r="E295" i="3" s="1"/>
  <c r="J294" i="3"/>
  <c r="E294" i="3"/>
  <c r="J293" i="3"/>
  <c r="E293" i="3"/>
  <c r="J292" i="3"/>
  <c r="E292" i="3"/>
  <c r="J291" i="3"/>
  <c r="E291" i="3"/>
  <c r="J290" i="3"/>
  <c r="E290" i="3"/>
  <c r="C289" i="3"/>
  <c r="J288" i="3"/>
  <c r="E288" i="3"/>
  <c r="J287" i="3"/>
  <c r="E287" i="3"/>
  <c r="J286" i="3"/>
  <c r="E286" i="3"/>
  <c r="J285" i="3"/>
  <c r="E285" i="3"/>
  <c r="I284" i="3"/>
  <c r="C284" i="3"/>
  <c r="I283" i="3"/>
  <c r="J283" i="3" s="1"/>
  <c r="E283" i="3"/>
  <c r="E282" i="3"/>
  <c r="J281" i="3"/>
  <c r="E281" i="3"/>
  <c r="J280" i="3"/>
  <c r="E280" i="3"/>
  <c r="E279" i="3"/>
  <c r="J278" i="3"/>
  <c r="E278" i="3"/>
  <c r="J277" i="3"/>
  <c r="E277" i="3"/>
  <c r="J276" i="3"/>
  <c r="E276" i="3"/>
  <c r="J275" i="3"/>
  <c r="E275" i="3"/>
  <c r="C274" i="3"/>
  <c r="J273" i="3"/>
  <c r="E273" i="3"/>
  <c r="J272" i="3"/>
  <c r="E272" i="3"/>
  <c r="E271" i="3"/>
  <c r="J270" i="3"/>
  <c r="E270" i="3"/>
  <c r="C269" i="3"/>
  <c r="J268" i="3"/>
  <c r="E268" i="3"/>
  <c r="J267" i="3"/>
  <c r="E267" i="3"/>
  <c r="C266" i="3"/>
  <c r="J265" i="3"/>
  <c r="E265" i="3"/>
  <c r="I264" i="3"/>
  <c r="J264" i="3" s="1"/>
  <c r="E264" i="3"/>
  <c r="E263" i="3"/>
  <c r="J262" i="3"/>
  <c r="E262" i="3"/>
  <c r="J261" i="3"/>
  <c r="E261" i="3"/>
  <c r="J260" i="3"/>
  <c r="E260" i="3"/>
  <c r="C259" i="3"/>
  <c r="C258" i="3"/>
  <c r="E258" i="3" s="1"/>
  <c r="J257" i="3"/>
  <c r="E257" i="3"/>
  <c r="J256" i="3"/>
  <c r="E256" i="3"/>
  <c r="E255" i="3"/>
  <c r="J254" i="3"/>
  <c r="E254" i="3"/>
  <c r="J253" i="3"/>
  <c r="E253" i="3"/>
  <c r="J252" i="3"/>
  <c r="E252" i="3"/>
  <c r="J251" i="3"/>
  <c r="E251" i="3"/>
  <c r="J250" i="3"/>
  <c r="E250" i="3"/>
  <c r="J249" i="3"/>
  <c r="E249" i="3"/>
  <c r="J248" i="3"/>
  <c r="E248" i="3"/>
  <c r="E247" i="3"/>
  <c r="J246" i="3"/>
  <c r="E246" i="3"/>
  <c r="J245" i="3"/>
  <c r="E245" i="3"/>
  <c r="J244" i="3"/>
  <c r="E244" i="3"/>
  <c r="J243" i="3"/>
  <c r="E243" i="3"/>
  <c r="J242" i="3"/>
  <c r="E242" i="3"/>
  <c r="J241" i="3"/>
  <c r="E241" i="3"/>
  <c r="E240" i="3"/>
  <c r="J239" i="3"/>
  <c r="E239" i="3"/>
  <c r="J238" i="3"/>
  <c r="E238" i="3"/>
  <c r="J237" i="3"/>
  <c r="E237" i="3"/>
  <c r="J236" i="3"/>
  <c r="E236" i="3"/>
  <c r="J235" i="3"/>
  <c r="E235" i="3"/>
  <c r="J234" i="3"/>
  <c r="E234" i="3"/>
  <c r="J233" i="3"/>
  <c r="E233" i="3"/>
  <c r="J232" i="3"/>
  <c r="E232" i="3"/>
  <c r="E231" i="3"/>
  <c r="J230" i="3"/>
  <c r="E230" i="3"/>
  <c r="J229" i="3"/>
  <c r="E229" i="3"/>
  <c r="J228" i="3"/>
  <c r="E228" i="3"/>
  <c r="J227" i="3"/>
  <c r="E227" i="3"/>
  <c r="J226" i="3"/>
  <c r="E226" i="3"/>
  <c r="J225" i="3"/>
  <c r="E225" i="3"/>
  <c r="J224" i="3"/>
  <c r="E224" i="3"/>
  <c r="E223" i="3"/>
  <c r="J222" i="3"/>
  <c r="E222" i="3"/>
  <c r="J221" i="3"/>
  <c r="E221" i="3"/>
  <c r="J219" i="3"/>
  <c r="E219" i="3"/>
  <c r="J218" i="3"/>
  <c r="E218" i="3"/>
  <c r="J217" i="3"/>
  <c r="E217" i="3"/>
  <c r="J216" i="3"/>
  <c r="E216" i="3"/>
  <c r="I215" i="3"/>
  <c r="J215" i="3" s="1"/>
  <c r="E215" i="3"/>
  <c r="I214" i="3"/>
  <c r="J214" i="3" s="1"/>
  <c r="E214" i="3"/>
  <c r="J212" i="3"/>
  <c r="E212" i="3"/>
  <c r="J211" i="3"/>
  <c r="E211" i="3"/>
  <c r="J210" i="3"/>
  <c r="E210" i="3"/>
  <c r="J209" i="3"/>
  <c r="E209" i="3"/>
  <c r="J208" i="3"/>
  <c r="E208" i="3"/>
  <c r="E207" i="3"/>
  <c r="J206" i="3"/>
  <c r="E206" i="3"/>
  <c r="J205" i="3"/>
  <c r="E205" i="3"/>
  <c r="J204" i="3"/>
  <c r="E204" i="3"/>
  <c r="J203" i="3"/>
  <c r="E203" i="3"/>
  <c r="J202" i="3"/>
  <c r="E202" i="3"/>
  <c r="I201" i="3"/>
  <c r="J201" i="3" s="1"/>
  <c r="E201" i="3"/>
  <c r="I200" i="3"/>
  <c r="J200" i="3" s="1"/>
  <c r="E200" i="3"/>
  <c r="E199" i="3"/>
  <c r="J198" i="3"/>
  <c r="E198" i="3"/>
  <c r="J197" i="3"/>
  <c r="E197" i="3"/>
  <c r="J196" i="3"/>
  <c r="E196" i="3"/>
  <c r="J195" i="3"/>
  <c r="E195" i="3"/>
  <c r="J194" i="3"/>
  <c r="E194" i="3"/>
  <c r="J193" i="3"/>
  <c r="E193" i="3"/>
  <c r="J192" i="3"/>
  <c r="E192" i="3"/>
  <c r="E191" i="3"/>
  <c r="J190" i="3"/>
  <c r="E190" i="3"/>
  <c r="J189" i="3"/>
  <c r="E189" i="3"/>
  <c r="J188" i="3"/>
  <c r="E188" i="3"/>
  <c r="J187" i="3"/>
  <c r="E187" i="3"/>
  <c r="J186" i="3"/>
  <c r="E186" i="3"/>
  <c r="E185" i="3"/>
  <c r="E183" i="3"/>
  <c r="J182" i="3"/>
  <c r="E182" i="3"/>
  <c r="J181" i="3"/>
  <c r="E181" i="3"/>
  <c r="I180" i="3"/>
  <c r="C180" i="3"/>
  <c r="E180" i="3" s="1"/>
  <c r="C179" i="3"/>
  <c r="J178" i="3"/>
  <c r="E178" i="3"/>
  <c r="J177" i="3"/>
  <c r="E177" i="3"/>
  <c r="J176" i="3"/>
  <c r="E176" i="3"/>
  <c r="J175" i="3"/>
  <c r="E175" i="3"/>
  <c r="J174" i="3"/>
  <c r="E174" i="3"/>
  <c r="J173" i="3"/>
  <c r="E173" i="3"/>
  <c r="C172" i="3"/>
  <c r="E172" i="3" s="1"/>
  <c r="C171" i="3"/>
  <c r="J170" i="3"/>
  <c r="E170" i="3"/>
  <c r="J169" i="3"/>
  <c r="E169" i="3"/>
  <c r="J168" i="3"/>
  <c r="E168" i="3"/>
  <c r="J166" i="3"/>
  <c r="E166" i="3"/>
  <c r="J165" i="3"/>
  <c r="E165" i="3"/>
  <c r="J164" i="3"/>
  <c r="E164" i="3"/>
  <c r="J163" i="3"/>
  <c r="E163" i="3"/>
  <c r="J162" i="3"/>
  <c r="E162" i="3"/>
  <c r="J161" i="3"/>
  <c r="E161" i="3"/>
  <c r="J160" i="3"/>
  <c r="E160" i="3"/>
  <c r="E159" i="3"/>
  <c r="J158" i="3"/>
  <c r="E158" i="3"/>
  <c r="J157" i="3"/>
  <c r="E157" i="3"/>
  <c r="E156" i="3"/>
  <c r="E155" i="3"/>
  <c r="E154" i="3"/>
  <c r="E153" i="3"/>
  <c r="E152" i="3"/>
  <c r="E151" i="3"/>
  <c r="E150" i="3"/>
  <c r="I149" i="3"/>
  <c r="J149" i="3" s="1"/>
  <c r="E149" i="3"/>
  <c r="J148" i="3"/>
  <c r="E148" i="3"/>
  <c r="I147" i="3"/>
  <c r="J147" i="3" s="1"/>
  <c r="E147" i="3"/>
  <c r="E146" i="3"/>
  <c r="E145" i="3"/>
  <c r="C144" i="3"/>
  <c r="E143" i="3"/>
  <c r="E142" i="3"/>
  <c r="E141" i="3"/>
  <c r="J140" i="3"/>
  <c r="E140" i="3"/>
  <c r="E139" i="3"/>
  <c r="E138" i="3"/>
  <c r="E137" i="3"/>
  <c r="E136" i="3"/>
  <c r="E135" i="3"/>
  <c r="E134" i="3"/>
  <c r="E133" i="3"/>
  <c r="E132" i="3"/>
  <c r="E131" i="3"/>
  <c r="J130" i="3"/>
  <c r="E130" i="3"/>
  <c r="E128" i="3"/>
  <c r="E127" i="3"/>
  <c r="E126" i="3"/>
  <c r="E125" i="3"/>
  <c r="E124" i="3"/>
  <c r="E123" i="3"/>
  <c r="J121" i="3"/>
  <c r="E121" i="3"/>
  <c r="E120" i="3"/>
  <c r="E119" i="3"/>
  <c r="E118" i="3"/>
  <c r="E117" i="3"/>
  <c r="E116" i="3"/>
  <c r="E115" i="3"/>
  <c r="E113" i="3"/>
  <c r="E112" i="3"/>
  <c r="E111" i="3"/>
  <c r="E110" i="3"/>
  <c r="E109" i="3"/>
  <c r="E108" i="3"/>
  <c r="J107" i="3"/>
  <c r="E107" i="3"/>
  <c r="J106" i="3"/>
  <c r="E106" i="3"/>
  <c r="E105" i="3"/>
  <c r="E104" i="3"/>
  <c r="E103" i="3"/>
  <c r="E102" i="3"/>
  <c r="E101" i="3"/>
  <c r="E100" i="3"/>
  <c r="E99" i="3"/>
  <c r="J98" i="3"/>
  <c r="E98" i="3"/>
  <c r="E97" i="3"/>
  <c r="E96" i="3"/>
  <c r="E95" i="3"/>
  <c r="E94" i="3"/>
  <c r="E93" i="3"/>
  <c r="J92" i="3"/>
  <c r="E92" i="3"/>
  <c r="J91" i="3"/>
  <c r="E91" i="3"/>
  <c r="C90" i="3"/>
  <c r="E90" i="3" s="1"/>
  <c r="E89" i="3"/>
  <c r="E88" i="3"/>
  <c r="E87" i="3"/>
  <c r="E86" i="3"/>
  <c r="E85" i="3"/>
  <c r="J84" i="3"/>
  <c r="E84" i="3"/>
  <c r="J83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J68" i="3"/>
  <c r="E68" i="3"/>
  <c r="E67" i="3"/>
  <c r="E66" i="3"/>
  <c r="E65" i="3"/>
  <c r="E64" i="3"/>
  <c r="J63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J50" i="3"/>
  <c r="E50" i="3"/>
  <c r="E48" i="3"/>
  <c r="E46" i="3"/>
  <c r="E45" i="3"/>
  <c r="E44" i="3"/>
  <c r="E43" i="3"/>
  <c r="I42" i="3"/>
  <c r="C42" i="3"/>
  <c r="E42" i="3" s="1"/>
  <c r="E41" i="3"/>
  <c r="E39" i="3"/>
  <c r="E38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0" i="3"/>
  <c r="I19" i="3"/>
  <c r="J19" i="3" s="1"/>
  <c r="E19" i="3"/>
  <c r="E18" i="3"/>
  <c r="E17" i="3"/>
  <c r="E16" i="3"/>
  <c r="E15" i="3"/>
  <c r="E13" i="3"/>
  <c r="E12" i="3"/>
  <c r="E11" i="3"/>
  <c r="E10" i="3"/>
  <c r="E8" i="3"/>
  <c r="E6" i="3"/>
  <c r="E5" i="3"/>
  <c r="I4" i="3"/>
  <c r="J4" i="3" s="1"/>
  <c r="E4" i="3"/>
  <c r="I3" i="3"/>
  <c r="J3" i="3" s="1"/>
  <c r="E3" i="3"/>
  <c r="I2" i="3"/>
  <c r="J2" i="3" s="1"/>
  <c r="E2" i="3"/>
  <c r="C38" i="2"/>
  <c r="F94" i="2"/>
  <c r="F73" i="2"/>
  <c r="F103" i="2"/>
  <c r="F110" i="2"/>
  <c r="F27" i="2"/>
  <c r="F69" i="2"/>
  <c r="F78" i="2"/>
  <c r="F5" i="2"/>
  <c r="F3" i="2"/>
  <c r="F23" i="2"/>
  <c r="F65" i="2"/>
  <c r="F18" i="2"/>
  <c r="F4" i="2"/>
  <c r="F71" i="2"/>
  <c r="F39" i="2"/>
  <c r="F63" i="2"/>
  <c r="F76" i="2"/>
  <c r="F68" i="2"/>
  <c r="F93" i="2"/>
  <c r="F50" i="2"/>
  <c r="F86" i="2"/>
  <c r="F81" i="2"/>
  <c r="F61" i="2"/>
  <c r="F36" i="2"/>
  <c r="F59" i="2"/>
  <c r="F55" i="2"/>
  <c r="F52" i="2"/>
  <c r="F72" i="2"/>
  <c r="F89" i="2"/>
  <c r="F31" i="2"/>
  <c r="F9" i="2"/>
  <c r="F62" i="2"/>
  <c r="F43" i="2"/>
  <c r="F46" i="2"/>
  <c r="F58" i="2"/>
  <c r="F111" i="2"/>
  <c r="F74" i="2"/>
  <c r="F67" i="2"/>
  <c r="F33" i="2"/>
  <c r="F108" i="2"/>
  <c r="F53" i="2"/>
  <c r="F66" i="2"/>
  <c r="F37" i="2"/>
  <c r="F82" i="2"/>
  <c r="F95" i="2"/>
  <c r="F56" i="2"/>
  <c r="F100" i="2"/>
  <c r="F112" i="2"/>
  <c r="F83" i="2"/>
  <c r="F7" i="2"/>
  <c r="F16" i="2"/>
  <c r="H123" i="2" s="1"/>
  <c r="F99" i="2"/>
  <c r="F102" i="2"/>
  <c r="F109" i="2"/>
  <c r="F114" i="2"/>
  <c r="F12" i="2"/>
  <c r="F45" i="2"/>
  <c r="F113" i="2"/>
  <c r="F19" i="2"/>
  <c r="F30" i="2"/>
  <c r="F44" i="2"/>
  <c r="F17" i="2"/>
  <c r="F40" i="2"/>
  <c r="F2" i="2"/>
  <c r="F24" i="2"/>
  <c r="F22" i="2"/>
  <c r="F6" i="2"/>
  <c r="F49" i="2"/>
  <c r="F26" i="2"/>
  <c r="F8" i="2"/>
  <c r="F57" i="2"/>
  <c r="F32" i="2"/>
  <c r="F48" i="2"/>
  <c r="F38" i="2"/>
  <c r="F28" i="2"/>
  <c r="F10" i="2"/>
  <c r="F35" i="2"/>
  <c r="F20" i="2"/>
  <c r="F25" i="2"/>
  <c r="F98" i="2"/>
  <c r="F41" i="2"/>
  <c r="H127" i="2" s="1"/>
  <c r="F14" i="2"/>
  <c r="H125" i="2" s="1"/>
  <c r="F88" i="2"/>
  <c r="F80" i="2"/>
  <c r="F75" i="2"/>
  <c r="F79" i="2"/>
  <c r="F84" i="2"/>
  <c r="F85" i="2"/>
  <c r="F91" i="2"/>
  <c r="F87" i="2"/>
  <c r="F90" i="2"/>
  <c r="F77" i="2"/>
  <c r="F101" i="2"/>
  <c r="F106" i="2"/>
  <c r="F54" i="2"/>
  <c r="F47" i="2"/>
  <c r="F96" i="2"/>
  <c r="F60" i="2"/>
  <c r="F34" i="2"/>
  <c r="F51" i="2"/>
  <c r="F29" i="2"/>
  <c r="F64" i="2"/>
  <c r="F104" i="2"/>
  <c r="F115" i="2"/>
  <c r="F107" i="2"/>
  <c r="F70" i="2"/>
  <c r="F92" i="2"/>
  <c r="F97" i="2"/>
  <c r="F105" i="2"/>
  <c r="F21" i="2"/>
  <c r="F13" i="2"/>
  <c r="F11" i="2"/>
  <c r="F15" i="2"/>
  <c r="F42" i="2"/>
  <c r="C27" i="2"/>
  <c r="C69" i="2"/>
  <c r="C78" i="2"/>
  <c r="C5" i="2"/>
  <c r="C3" i="2"/>
  <c r="C23" i="2"/>
  <c r="C65" i="2"/>
  <c r="C18" i="2"/>
  <c r="C4" i="2"/>
  <c r="C76" i="2"/>
  <c r="C50" i="2"/>
  <c r="C36" i="2"/>
  <c r="C59" i="2"/>
  <c r="C55" i="2"/>
  <c r="C9" i="2"/>
  <c r="C33" i="2"/>
  <c r="C100" i="2"/>
  <c r="C7" i="2"/>
  <c r="C12" i="2"/>
  <c r="C45" i="2"/>
  <c r="C19" i="2"/>
  <c r="C30" i="2"/>
  <c r="C2" i="2"/>
  <c r="C6" i="2"/>
  <c r="C49" i="2"/>
  <c r="C26" i="2"/>
  <c r="C57" i="2"/>
  <c r="C28" i="2"/>
  <c r="C41" i="2"/>
  <c r="C14" i="2"/>
  <c r="C77" i="2"/>
  <c r="C34" i="2"/>
  <c r="C51" i="2"/>
  <c r="C29" i="2"/>
  <c r="C104" i="2"/>
  <c r="C92" i="2"/>
  <c r="C21" i="2"/>
  <c r="C13" i="2"/>
  <c r="C11" i="2"/>
  <c r="C42" i="2"/>
  <c r="J94" i="2"/>
  <c r="K94" i="2" s="1"/>
  <c r="J73" i="2"/>
  <c r="K73" i="2" s="1"/>
  <c r="J103" i="2"/>
  <c r="K103" i="2" s="1"/>
  <c r="J110" i="2"/>
  <c r="K110" i="2" s="1"/>
  <c r="J27" i="2"/>
  <c r="J69" i="2"/>
  <c r="K69" i="2" s="1"/>
  <c r="J78" i="2"/>
  <c r="K78" i="2" s="1"/>
  <c r="J5" i="2"/>
  <c r="J3" i="2"/>
  <c r="J23" i="2"/>
  <c r="J65" i="2"/>
  <c r="J18" i="2"/>
  <c r="J4" i="2"/>
  <c r="J71" i="2"/>
  <c r="K71" i="2" s="1"/>
  <c r="J39" i="2"/>
  <c r="K39" i="2" s="1"/>
  <c r="J63" i="2"/>
  <c r="K63" i="2" s="1"/>
  <c r="J76" i="2"/>
  <c r="K76" i="2" s="1"/>
  <c r="J68" i="2"/>
  <c r="K68" i="2" s="1"/>
  <c r="J93" i="2"/>
  <c r="K93" i="2" s="1"/>
  <c r="J50" i="2"/>
  <c r="K50" i="2" s="1"/>
  <c r="J86" i="2"/>
  <c r="K86" i="2" s="1"/>
  <c r="J81" i="2"/>
  <c r="K81" i="2" s="1"/>
  <c r="J61" i="2"/>
  <c r="K61" i="2" s="1"/>
  <c r="J36" i="2"/>
  <c r="J59" i="2"/>
  <c r="J55" i="2"/>
  <c r="K55" i="2" s="1"/>
  <c r="J52" i="2"/>
  <c r="K52" i="2" s="1"/>
  <c r="J72" i="2"/>
  <c r="C72" i="2"/>
  <c r="J89" i="2"/>
  <c r="K89" i="2" s="1"/>
  <c r="J31" i="2"/>
  <c r="K31" i="2" s="1"/>
  <c r="J9" i="2"/>
  <c r="J62" i="2"/>
  <c r="K62" i="2" s="1"/>
  <c r="J43" i="2"/>
  <c r="K43" i="2" s="1"/>
  <c r="J46" i="2"/>
  <c r="K46" i="2" s="1"/>
  <c r="J58" i="2"/>
  <c r="K58" i="2" s="1"/>
  <c r="J111" i="2"/>
  <c r="K111" i="2" s="1"/>
  <c r="J74" i="2"/>
  <c r="K74" i="2" s="1"/>
  <c r="J67" i="2"/>
  <c r="K67" i="2" s="1"/>
  <c r="J33" i="2"/>
  <c r="J108" i="2"/>
  <c r="K108" i="2" s="1"/>
  <c r="J53" i="2"/>
  <c r="K53" i="2" s="1"/>
  <c r="J66" i="2"/>
  <c r="K66" i="2" s="1"/>
  <c r="J37" i="2"/>
  <c r="K37" i="2" s="1"/>
  <c r="J82" i="2"/>
  <c r="K82" i="2" s="1"/>
  <c r="J95" i="2"/>
  <c r="K95" i="2" s="1"/>
  <c r="J56" i="2"/>
  <c r="K56" i="2" s="1"/>
  <c r="J100" i="2"/>
  <c r="J112" i="2"/>
  <c r="K112" i="2" s="1"/>
  <c r="J83" i="2"/>
  <c r="K83" i="2" s="1"/>
  <c r="J7" i="2"/>
  <c r="K7" i="2" s="1"/>
  <c r="J16" i="2"/>
  <c r="K16" i="2" s="1"/>
  <c r="J99" i="2"/>
  <c r="K99" i="2" s="1"/>
  <c r="J102" i="2"/>
  <c r="K102" i="2" s="1"/>
  <c r="J109" i="2"/>
  <c r="K109" i="2" s="1"/>
  <c r="J114" i="2"/>
  <c r="K114" i="2" s="1"/>
  <c r="J12" i="2"/>
  <c r="J45" i="2"/>
  <c r="J113" i="2"/>
  <c r="K113" i="2" s="1"/>
  <c r="J19" i="2"/>
  <c r="J30" i="2"/>
  <c r="K30" i="2" s="1"/>
  <c r="J44" i="2"/>
  <c r="K44" i="2" s="1"/>
  <c r="J17" i="2"/>
  <c r="K17" i="2" s="1"/>
  <c r="J40" i="2"/>
  <c r="K40" i="2" s="1"/>
  <c r="J2" i="2"/>
  <c r="J24" i="2"/>
  <c r="K24" i="2" s="1"/>
  <c r="J22" i="2"/>
  <c r="K22" i="2" s="1"/>
  <c r="I6" i="2"/>
  <c r="J6" i="2" s="1"/>
  <c r="K6" i="2" s="1"/>
  <c r="J49" i="2"/>
  <c r="J26" i="2"/>
  <c r="K26" i="2" s="1"/>
  <c r="J8" i="2"/>
  <c r="K8" i="2" s="1"/>
  <c r="J57" i="2"/>
  <c r="K57" i="2" s="1"/>
  <c r="J32" i="2"/>
  <c r="K32" i="2" s="1"/>
  <c r="J48" i="2"/>
  <c r="K48" i="2" s="1"/>
  <c r="J38" i="2"/>
  <c r="J28" i="2"/>
  <c r="K28" i="2" s="1"/>
  <c r="J10" i="2"/>
  <c r="K10" i="2" s="1"/>
  <c r="J35" i="2"/>
  <c r="K35" i="2" s="1"/>
  <c r="J20" i="2"/>
  <c r="K20" i="2" s="1"/>
  <c r="J25" i="2"/>
  <c r="K25" i="2" s="1"/>
  <c r="J98" i="2"/>
  <c r="K98" i="2" s="1"/>
  <c r="J41" i="2"/>
  <c r="J14" i="2"/>
  <c r="J88" i="2"/>
  <c r="K88" i="2" s="1"/>
  <c r="J80" i="2"/>
  <c r="K80" i="2" s="1"/>
  <c r="J75" i="2"/>
  <c r="K75" i="2" s="1"/>
  <c r="J79" i="2"/>
  <c r="K79" i="2" s="1"/>
  <c r="J84" i="2"/>
  <c r="K84" i="2" s="1"/>
  <c r="J85" i="2"/>
  <c r="K85" i="2" s="1"/>
  <c r="J91" i="2"/>
  <c r="K91" i="2" s="1"/>
  <c r="J87" i="2"/>
  <c r="K87" i="2" s="1"/>
  <c r="J90" i="2"/>
  <c r="K90" i="2" s="1"/>
  <c r="J77" i="2"/>
  <c r="J101" i="2"/>
  <c r="K101" i="2" s="1"/>
  <c r="J106" i="2"/>
  <c r="K106" i="2" s="1"/>
  <c r="J54" i="2"/>
  <c r="K54" i="2" s="1"/>
  <c r="J47" i="2"/>
  <c r="K47" i="2" s="1"/>
  <c r="J96" i="2"/>
  <c r="K96" i="2" s="1"/>
  <c r="J60" i="2"/>
  <c r="K60" i="2" s="1"/>
  <c r="J34" i="2"/>
  <c r="K34" i="2" s="1"/>
  <c r="J51" i="2"/>
  <c r="J29" i="2"/>
  <c r="J64" i="2"/>
  <c r="K64" i="2" s="1"/>
  <c r="J104" i="2"/>
  <c r="J115" i="2"/>
  <c r="K115" i="2" s="1"/>
  <c r="J107" i="2"/>
  <c r="K107" i="2" s="1"/>
  <c r="J70" i="2"/>
  <c r="K70" i="2" s="1"/>
  <c r="J92" i="2"/>
  <c r="K92" i="2" s="1"/>
  <c r="J97" i="2"/>
  <c r="K97" i="2" s="1"/>
  <c r="J105" i="2"/>
  <c r="K105" i="2" s="1"/>
  <c r="J21" i="2"/>
  <c r="J13" i="2"/>
  <c r="K13" i="2" s="1"/>
  <c r="J11" i="2"/>
  <c r="K11" i="2" s="1"/>
  <c r="J15" i="2"/>
  <c r="K15" i="2" s="1"/>
  <c r="J42" i="2"/>
  <c r="C138" i="1"/>
  <c r="I138" i="1"/>
  <c r="J138" i="1" s="1"/>
  <c r="E138" i="1"/>
  <c r="C14" i="1"/>
  <c r="I14" i="1"/>
  <c r="J14" i="1" s="1"/>
  <c r="C7" i="1"/>
  <c r="I7" i="1"/>
  <c r="C10" i="1"/>
  <c r="C9" i="1"/>
  <c r="I10" i="1"/>
  <c r="C266" i="1"/>
  <c r="C144" i="1"/>
  <c r="C132" i="1"/>
  <c r="H132" i="1"/>
  <c r="I132" i="1" s="1"/>
  <c r="H131" i="1"/>
  <c r="I361" i="1"/>
  <c r="C335" i="1"/>
  <c r="E335" i="1" s="1"/>
  <c r="I335" i="1"/>
  <c r="C327" i="1"/>
  <c r="E327" i="1" s="1"/>
  <c r="I327" i="1"/>
  <c r="J327" i="1" s="1"/>
  <c r="C323" i="1"/>
  <c r="E323" i="1" s="1"/>
  <c r="I323" i="1"/>
  <c r="C321" i="1"/>
  <c r="E321" i="1" s="1"/>
  <c r="C320" i="1"/>
  <c r="I321" i="1"/>
  <c r="C318" i="1"/>
  <c r="E318" i="1" s="1"/>
  <c r="C317" i="1"/>
  <c r="I318" i="1"/>
  <c r="C316" i="1"/>
  <c r="E316" i="1" s="1"/>
  <c r="C315" i="1"/>
  <c r="I316" i="1"/>
  <c r="C313" i="1"/>
  <c r="E313" i="1" s="1"/>
  <c r="I313" i="1"/>
  <c r="H132" i="4" l="1"/>
  <c r="H133" i="4" s="1"/>
  <c r="J172" i="3"/>
  <c r="J10" i="3"/>
  <c r="J25" i="3"/>
  <c r="J312" i="3"/>
  <c r="J180" i="3"/>
  <c r="J90" i="3"/>
  <c r="J95" i="3"/>
  <c r="J47" i="3"/>
  <c r="E47" i="3"/>
  <c r="J185" i="3"/>
  <c r="J125" i="3"/>
  <c r="J240" i="3"/>
  <c r="J49" i="3"/>
  <c r="J114" i="3"/>
  <c r="J282" i="3"/>
  <c r="E49" i="3"/>
  <c r="J37" i="3"/>
  <c r="J274" i="3"/>
  <c r="J295" i="3"/>
  <c r="J7" i="3"/>
  <c r="J132" i="3"/>
  <c r="J319" i="3"/>
  <c r="E7" i="3"/>
  <c r="J322" i="3"/>
  <c r="J269" i="3"/>
  <c r="J336" i="3"/>
  <c r="J21" i="3"/>
  <c r="J122" i="3"/>
  <c r="J179" i="3"/>
  <c r="J307" i="3"/>
  <c r="J317" i="3"/>
  <c r="J60" i="3"/>
  <c r="J259" i="3"/>
  <c r="J167" i="3"/>
  <c r="J171" i="3"/>
  <c r="J184" i="3"/>
  <c r="J14" i="3"/>
  <c r="J40" i="3"/>
  <c r="J213" i="3"/>
  <c r="J220" i="3"/>
  <c r="J289" i="3"/>
  <c r="J320" i="3"/>
  <c r="J129" i="3"/>
  <c r="J138" i="3"/>
  <c r="J144" i="3"/>
  <c r="J266" i="3"/>
  <c r="J42" i="3"/>
  <c r="J284" i="3"/>
  <c r="J315" i="3"/>
  <c r="J32" i="3"/>
  <c r="J326" i="3"/>
  <c r="E171" i="3"/>
  <c r="J258" i="3"/>
  <c r="E266" i="3"/>
  <c r="J308" i="3"/>
  <c r="J314" i="3"/>
  <c r="J316" i="3"/>
  <c r="E9" i="3"/>
  <c r="E40" i="3"/>
  <c r="E114" i="3"/>
  <c r="E129" i="3"/>
  <c r="E167" i="3"/>
  <c r="E179" i="3"/>
  <c r="E220" i="3"/>
  <c r="E259" i="3"/>
  <c r="E269" i="3"/>
  <c r="E274" i="3"/>
  <c r="E284" i="3"/>
  <c r="E289" i="3"/>
  <c r="E307" i="3"/>
  <c r="E315" i="3"/>
  <c r="E317" i="3"/>
  <c r="E336" i="3"/>
  <c r="E14" i="3"/>
  <c r="E122" i="3"/>
  <c r="E184" i="3"/>
  <c r="E144" i="3"/>
  <c r="E213" i="3"/>
  <c r="E320" i="3"/>
  <c r="F116" i="2"/>
  <c r="K51" i="2"/>
  <c r="K77" i="2"/>
  <c r="K49" i="2"/>
  <c r="K4" i="2"/>
  <c r="K27" i="2"/>
  <c r="K45" i="2"/>
  <c r="K5" i="2"/>
  <c r="H126" i="2"/>
  <c r="H124" i="2"/>
  <c r="H120" i="2"/>
  <c r="H118" i="2"/>
  <c r="H119" i="2"/>
  <c r="H122" i="2"/>
  <c r="H121" i="2"/>
  <c r="K21" i="2"/>
  <c r="K19" i="2"/>
  <c r="K59" i="2"/>
  <c r="K3" i="2"/>
  <c r="K72" i="2"/>
  <c r="K23" i="2"/>
  <c r="K104" i="2"/>
  <c r="K29" i="2"/>
  <c r="K42" i="2"/>
  <c r="K14" i="2"/>
  <c r="K36" i="2"/>
  <c r="K18" i="2"/>
  <c r="K65" i="2"/>
  <c r="K9" i="2"/>
  <c r="K38" i="2"/>
  <c r="K100" i="2"/>
  <c r="K33" i="2"/>
  <c r="K41" i="2"/>
  <c r="K2" i="2"/>
  <c r="K12" i="2"/>
  <c r="J10" i="1"/>
  <c r="J7" i="1"/>
  <c r="E14" i="1"/>
  <c r="J335" i="1"/>
  <c r="E7" i="1"/>
  <c r="E10" i="1"/>
  <c r="J132" i="1"/>
  <c r="E132" i="1"/>
  <c r="J323" i="1"/>
  <c r="J318" i="1"/>
  <c r="J321" i="1"/>
  <c r="J313" i="1"/>
  <c r="J316" i="1"/>
  <c r="E366" i="3" l="1"/>
  <c r="F370" i="3" s="1"/>
  <c r="H128" i="2"/>
  <c r="H129" i="2" s="1"/>
  <c r="F368" i="3" l="1"/>
  <c r="F369" i="3"/>
  <c r="C310" i="1" l="1"/>
  <c r="E310" i="1" s="1"/>
  <c r="I310" i="1"/>
  <c r="I312" i="1"/>
  <c r="C89" i="1"/>
  <c r="C213" i="1"/>
  <c r="J310" i="1" l="1"/>
  <c r="C308" i="1"/>
  <c r="E308" i="1" s="1"/>
  <c r="C307" i="1"/>
  <c r="I308" i="1"/>
  <c r="I264" i="1"/>
  <c r="C259" i="1"/>
  <c r="E259" i="1" s="1"/>
  <c r="C258" i="1"/>
  <c r="I259" i="1"/>
  <c r="C220" i="1"/>
  <c r="E220" i="1" s="1"/>
  <c r="I220" i="1"/>
  <c r="I215" i="1"/>
  <c r="I214" i="1"/>
  <c r="E213" i="1"/>
  <c r="I213" i="1"/>
  <c r="I212" i="1"/>
  <c r="I201" i="1"/>
  <c r="I200" i="1"/>
  <c r="C185" i="1"/>
  <c r="E185" i="1" s="1"/>
  <c r="C184" i="1"/>
  <c r="I185" i="1"/>
  <c r="I183" i="1"/>
  <c r="C180" i="1"/>
  <c r="E180" i="1" s="1"/>
  <c r="C179" i="1"/>
  <c r="I180" i="1"/>
  <c r="I179" i="1"/>
  <c r="C172" i="1"/>
  <c r="E172" i="1" s="1"/>
  <c r="C171" i="1"/>
  <c r="I172" i="1"/>
  <c r="C168" i="1"/>
  <c r="E168" i="1" s="1"/>
  <c r="C167" i="1"/>
  <c r="I168" i="1"/>
  <c r="I144" i="1"/>
  <c r="I131" i="1"/>
  <c r="I136" i="1"/>
  <c r="I141" i="1"/>
  <c r="I142" i="1"/>
  <c r="C129" i="1"/>
  <c r="E129" i="1" s="1"/>
  <c r="I129" i="1"/>
  <c r="J308" i="1" l="1"/>
  <c r="J213" i="1"/>
  <c r="J259" i="1"/>
  <c r="J180" i="1"/>
  <c r="J220" i="1"/>
  <c r="J185" i="1"/>
  <c r="J172" i="1"/>
  <c r="J168" i="1"/>
  <c r="J129" i="1"/>
  <c r="C125" i="1"/>
  <c r="E125" i="1" s="1"/>
  <c r="I125" i="1"/>
  <c r="C122" i="1"/>
  <c r="E122" i="1" s="1"/>
  <c r="I122" i="1"/>
  <c r="C114" i="1"/>
  <c r="E114" i="1" s="1"/>
  <c r="I114" i="1"/>
  <c r="C112" i="1"/>
  <c r="E112" i="1" s="1"/>
  <c r="I112" i="1"/>
  <c r="C94" i="1"/>
  <c r="E94" i="1" s="1"/>
  <c r="I94" i="1"/>
  <c r="I89" i="1"/>
  <c r="I358" i="1"/>
  <c r="C59" i="1"/>
  <c r="E59" i="1" s="1"/>
  <c r="I59" i="1"/>
  <c r="I297" i="1"/>
  <c r="C295" i="1"/>
  <c r="E295" i="1" s="1"/>
  <c r="I295" i="1"/>
  <c r="C289" i="1"/>
  <c r="I289" i="1"/>
  <c r="J125" i="1" l="1"/>
  <c r="J122" i="1"/>
  <c r="J114" i="1"/>
  <c r="J89" i="1"/>
  <c r="J112" i="1"/>
  <c r="J94" i="1"/>
  <c r="E89" i="1"/>
  <c r="J59" i="1"/>
  <c r="J289" i="1"/>
  <c r="J295" i="1"/>
  <c r="E289" i="1"/>
  <c r="C284" i="1"/>
  <c r="E284" i="1" s="1"/>
  <c r="I284" i="1"/>
  <c r="I283" i="1"/>
  <c r="J283" i="1" s="1"/>
  <c r="C282" i="1"/>
  <c r="E282" i="1" s="1"/>
  <c r="I282" i="1"/>
  <c r="I279" i="1"/>
  <c r="J279" i="1" s="1"/>
  <c r="C274" i="1"/>
  <c r="E274" i="1" s="1"/>
  <c r="I274" i="1"/>
  <c r="C269" i="1"/>
  <c r="E269" i="1" s="1"/>
  <c r="I269" i="1"/>
  <c r="C240" i="1"/>
  <c r="E240" i="1" s="1"/>
  <c r="I240" i="1"/>
  <c r="I53" i="1"/>
  <c r="E53" i="1"/>
  <c r="I50" i="1"/>
  <c r="J50" i="1" s="1"/>
  <c r="C47" i="1"/>
  <c r="E47" i="1" s="1"/>
  <c r="I47" i="1"/>
  <c r="I45" i="1"/>
  <c r="J45" i="1" s="1"/>
  <c r="C41" i="1"/>
  <c r="E41" i="1" s="1"/>
  <c r="I41" i="1"/>
  <c r="I40" i="1"/>
  <c r="J40" i="1" s="1"/>
  <c r="C39" i="1"/>
  <c r="E39" i="1" s="1"/>
  <c r="I39" i="1"/>
  <c r="I38" i="1"/>
  <c r="J38" i="1" s="1"/>
  <c r="C32" i="1"/>
  <c r="I32" i="1"/>
  <c r="C25" i="1"/>
  <c r="E25" i="1" s="1"/>
  <c r="I25" i="1"/>
  <c r="C21" i="1"/>
  <c r="E20" i="1"/>
  <c r="I21" i="1"/>
  <c r="I149" i="1"/>
  <c r="J149" i="1" s="1"/>
  <c r="I147" i="1"/>
  <c r="J147" i="1" s="1"/>
  <c r="I19" i="1"/>
  <c r="J19" i="1" s="1"/>
  <c r="I15" i="1"/>
  <c r="J15" i="1" s="1"/>
  <c r="I13" i="1"/>
  <c r="J13" i="1" s="1"/>
  <c r="I5" i="1"/>
  <c r="J5" i="1" s="1"/>
  <c r="I4" i="1"/>
  <c r="J4" i="1" s="1"/>
  <c r="I3" i="1"/>
  <c r="J3" i="1" s="1"/>
  <c r="I2" i="1"/>
  <c r="J2" i="1" s="1"/>
  <c r="I6" i="1"/>
  <c r="J6" i="1" s="1"/>
  <c r="I8" i="1"/>
  <c r="J8" i="1" s="1"/>
  <c r="I9" i="1"/>
  <c r="J9" i="1" s="1"/>
  <c r="I11" i="1"/>
  <c r="J11" i="1" s="1"/>
  <c r="I12" i="1"/>
  <c r="J12" i="1" s="1"/>
  <c r="I16" i="1"/>
  <c r="J16" i="1" s="1"/>
  <c r="I17" i="1"/>
  <c r="J17" i="1" s="1"/>
  <c r="I18" i="1"/>
  <c r="J18" i="1" s="1"/>
  <c r="I20" i="1"/>
  <c r="I22" i="1"/>
  <c r="J22" i="1" s="1"/>
  <c r="I23" i="1"/>
  <c r="J23" i="1" s="1"/>
  <c r="I24" i="1"/>
  <c r="J24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3" i="1"/>
  <c r="J33" i="1" s="1"/>
  <c r="I34" i="1"/>
  <c r="J34" i="1" s="1"/>
  <c r="I35" i="1"/>
  <c r="J35" i="1" s="1"/>
  <c r="I36" i="1"/>
  <c r="J36" i="1" s="1"/>
  <c r="I37" i="1"/>
  <c r="J37" i="1" s="1"/>
  <c r="I42" i="1"/>
  <c r="J42" i="1" s="1"/>
  <c r="I43" i="1"/>
  <c r="J43" i="1" s="1"/>
  <c r="I44" i="1"/>
  <c r="J44" i="1" s="1"/>
  <c r="I46" i="1"/>
  <c r="J46" i="1" s="1"/>
  <c r="I48" i="1"/>
  <c r="J48" i="1" s="1"/>
  <c r="I49" i="1"/>
  <c r="J49" i="1" s="1"/>
  <c r="I51" i="1"/>
  <c r="J51" i="1" s="1"/>
  <c r="I52" i="1"/>
  <c r="J52" i="1" s="1"/>
  <c r="I54" i="1"/>
  <c r="J54" i="1" s="1"/>
  <c r="I55" i="1"/>
  <c r="J55" i="1" s="1"/>
  <c r="I56" i="1"/>
  <c r="J56" i="1" s="1"/>
  <c r="I57" i="1"/>
  <c r="J57" i="1" s="1"/>
  <c r="I58" i="1"/>
  <c r="J58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90" i="1"/>
  <c r="J90" i="1" s="1"/>
  <c r="I91" i="1"/>
  <c r="J91" i="1" s="1"/>
  <c r="I92" i="1"/>
  <c r="J92" i="1" s="1"/>
  <c r="I93" i="1"/>
  <c r="J93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3" i="1"/>
  <c r="J113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3" i="1"/>
  <c r="J123" i="1" s="1"/>
  <c r="I124" i="1"/>
  <c r="J124" i="1" s="1"/>
  <c r="I126" i="1"/>
  <c r="J126" i="1" s="1"/>
  <c r="I127" i="1"/>
  <c r="J127" i="1" s="1"/>
  <c r="I128" i="1"/>
  <c r="J128" i="1" s="1"/>
  <c r="I130" i="1"/>
  <c r="J130" i="1" s="1"/>
  <c r="J131" i="1"/>
  <c r="I133" i="1"/>
  <c r="J133" i="1" s="1"/>
  <c r="I134" i="1"/>
  <c r="J134" i="1" s="1"/>
  <c r="I135" i="1"/>
  <c r="J135" i="1" s="1"/>
  <c r="J136" i="1"/>
  <c r="I137" i="1"/>
  <c r="J137" i="1" s="1"/>
  <c r="I139" i="1"/>
  <c r="J139" i="1" s="1"/>
  <c r="I140" i="1"/>
  <c r="J140" i="1" s="1"/>
  <c r="J141" i="1"/>
  <c r="J142" i="1"/>
  <c r="I143" i="1"/>
  <c r="J143" i="1" s="1"/>
  <c r="J144" i="1"/>
  <c r="I145" i="1"/>
  <c r="J145" i="1" s="1"/>
  <c r="I146" i="1"/>
  <c r="J146" i="1" s="1"/>
  <c r="I148" i="1"/>
  <c r="J148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9" i="1"/>
  <c r="J169" i="1" s="1"/>
  <c r="I170" i="1"/>
  <c r="J170" i="1" s="1"/>
  <c r="I171" i="1"/>
  <c r="J171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J179" i="1"/>
  <c r="I181" i="1"/>
  <c r="J181" i="1" s="1"/>
  <c r="I182" i="1"/>
  <c r="J182" i="1" s="1"/>
  <c r="J183" i="1"/>
  <c r="I184" i="1"/>
  <c r="J184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J200" i="1"/>
  <c r="J201" i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J212" i="1"/>
  <c r="J214" i="1"/>
  <c r="J215" i="1"/>
  <c r="I216" i="1"/>
  <c r="J216" i="1" s="1"/>
  <c r="I217" i="1"/>
  <c r="J217" i="1" s="1"/>
  <c r="I218" i="1"/>
  <c r="J218" i="1" s="1"/>
  <c r="I219" i="1"/>
  <c r="J219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60" i="1"/>
  <c r="J260" i="1" s="1"/>
  <c r="I261" i="1"/>
  <c r="J261" i="1" s="1"/>
  <c r="I262" i="1"/>
  <c r="J262" i="1" s="1"/>
  <c r="I263" i="1"/>
  <c r="J263" i="1" s="1"/>
  <c r="J264" i="1"/>
  <c r="I265" i="1"/>
  <c r="J265" i="1" s="1"/>
  <c r="I266" i="1"/>
  <c r="J266" i="1" s="1"/>
  <c r="I267" i="1"/>
  <c r="J267" i="1" s="1"/>
  <c r="I268" i="1"/>
  <c r="J268" i="1" s="1"/>
  <c r="I270" i="1"/>
  <c r="J270" i="1" s="1"/>
  <c r="I271" i="1"/>
  <c r="J271" i="1" s="1"/>
  <c r="I272" i="1"/>
  <c r="J272" i="1" s="1"/>
  <c r="I273" i="1"/>
  <c r="J273" i="1" s="1"/>
  <c r="I275" i="1"/>
  <c r="J275" i="1" s="1"/>
  <c r="I276" i="1"/>
  <c r="J276" i="1" s="1"/>
  <c r="I277" i="1"/>
  <c r="J277" i="1" s="1"/>
  <c r="I278" i="1"/>
  <c r="J278" i="1" s="1"/>
  <c r="I280" i="1"/>
  <c r="J280" i="1" s="1"/>
  <c r="I281" i="1"/>
  <c r="J281" i="1" s="1"/>
  <c r="I285" i="1"/>
  <c r="J285" i="1" s="1"/>
  <c r="I286" i="1"/>
  <c r="J286" i="1" s="1"/>
  <c r="I287" i="1"/>
  <c r="J287" i="1" s="1"/>
  <c r="I288" i="1"/>
  <c r="J288" i="1" s="1"/>
  <c r="I290" i="1"/>
  <c r="J290" i="1" s="1"/>
  <c r="I291" i="1"/>
  <c r="J291" i="1" s="1"/>
  <c r="I292" i="1"/>
  <c r="J292" i="1" s="1"/>
  <c r="I293" i="1"/>
  <c r="J293" i="1" s="1"/>
  <c r="I294" i="1"/>
  <c r="J294" i="1" s="1"/>
  <c r="I296" i="1"/>
  <c r="J296" i="1" s="1"/>
  <c r="J297" i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9" i="1"/>
  <c r="J309" i="1" s="1"/>
  <c r="I311" i="1"/>
  <c r="J311" i="1" s="1"/>
  <c r="J312" i="1"/>
  <c r="I314" i="1"/>
  <c r="J314" i="1" s="1"/>
  <c r="I315" i="1"/>
  <c r="J315" i="1" s="1"/>
  <c r="I317" i="1"/>
  <c r="J317" i="1" s="1"/>
  <c r="I319" i="1"/>
  <c r="J319" i="1" s="1"/>
  <c r="I320" i="1"/>
  <c r="J320" i="1" s="1"/>
  <c r="I322" i="1"/>
  <c r="J322" i="1" s="1"/>
  <c r="I324" i="1"/>
  <c r="J324" i="1" s="1"/>
  <c r="I325" i="1"/>
  <c r="J325" i="1" s="1"/>
  <c r="I326" i="1"/>
  <c r="J326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J358" i="1"/>
  <c r="I359" i="1"/>
  <c r="J359" i="1" s="1"/>
  <c r="I360" i="1"/>
  <c r="J360" i="1" s="1"/>
  <c r="J361" i="1"/>
  <c r="I362" i="1"/>
  <c r="J362" i="1" s="1"/>
  <c r="I363" i="1"/>
  <c r="J363" i="1" s="1"/>
  <c r="I364" i="1"/>
  <c r="J364" i="1" s="1"/>
  <c r="E3" i="1"/>
  <c r="E4" i="1"/>
  <c r="E5" i="1"/>
  <c r="E6" i="1"/>
  <c r="E8" i="1"/>
  <c r="E9" i="1"/>
  <c r="E11" i="1"/>
  <c r="E12" i="1"/>
  <c r="E13" i="1"/>
  <c r="E15" i="1"/>
  <c r="E16" i="1"/>
  <c r="E17" i="1"/>
  <c r="E18" i="1"/>
  <c r="E19" i="1"/>
  <c r="E22" i="1"/>
  <c r="E23" i="1"/>
  <c r="E24" i="1"/>
  <c r="E26" i="1"/>
  <c r="E27" i="1"/>
  <c r="E28" i="1"/>
  <c r="E29" i="1"/>
  <c r="E30" i="1"/>
  <c r="E31" i="1"/>
  <c r="E33" i="1"/>
  <c r="E34" i="1"/>
  <c r="E35" i="1"/>
  <c r="E36" i="1"/>
  <c r="E37" i="1"/>
  <c r="E38" i="1"/>
  <c r="E40" i="1"/>
  <c r="E42" i="1"/>
  <c r="E43" i="1"/>
  <c r="E44" i="1"/>
  <c r="E45" i="1"/>
  <c r="E46" i="1"/>
  <c r="E48" i="1"/>
  <c r="E49" i="1"/>
  <c r="E50" i="1"/>
  <c r="E51" i="1"/>
  <c r="E52" i="1"/>
  <c r="E54" i="1"/>
  <c r="E55" i="1"/>
  <c r="E56" i="1"/>
  <c r="E57" i="1"/>
  <c r="E58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90" i="1"/>
  <c r="E91" i="1"/>
  <c r="E92" i="1"/>
  <c r="E93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3" i="1"/>
  <c r="E115" i="1"/>
  <c r="E116" i="1"/>
  <c r="E117" i="1"/>
  <c r="E118" i="1"/>
  <c r="E119" i="1"/>
  <c r="E120" i="1"/>
  <c r="E121" i="1"/>
  <c r="E123" i="1"/>
  <c r="E124" i="1"/>
  <c r="E126" i="1"/>
  <c r="E127" i="1"/>
  <c r="E128" i="1"/>
  <c r="E130" i="1"/>
  <c r="E131" i="1"/>
  <c r="E133" i="1"/>
  <c r="E134" i="1"/>
  <c r="E135" i="1"/>
  <c r="E136" i="1"/>
  <c r="E137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9" i="1"/>
  <c r="E170" i="1"/>
  <c r="E171" i="1"/>
  <c r="E173" i="1"/>
  <c r="E174" i="1"/>
  <c r="E175" i="1"/>
  <c r="E176" i="1"/>
  <c r="E177" i="1"/>
  <c r="E178" i="1"/>
  <c r="E179" i="1"/>
  <c r="E181" i="1"/>
  <c r="E182" i="1"/>
  <c r="E183" i="1"/>
  <c r="E184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4" i="1"/>
  <c r="E215" i="1"/>
  <c r="E216" i="1"/>
  <c r="E217" i="1"/>
  <c r="E218" i="1"/>
  <c r="E219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60" i="1"/>
  <c r="E261" i="1"/>
  <c r="E262" i="1"/>
  <c r="E263" i="1"/>
  <c r="E264" i="1"/>
  <c r="E265" i="1"/>
  <c r="E266" i="1"/>
  <c r="E267" i="1"/>
  <c r="E268" i="1"/>
  <c r="E270" i="1"/>
  <c r="E271" i="1"/>
  <c r="E272" i="1"/>
  <c r="E273" i="1"/>
  <c r="E275" i="1"/>
  <c r="E276" i="1"/>
  <c r="E277" i="1"/>
  <c r="E278" i="1"/>
  <c r="E279" i="1"/>
  <c r="E280" i="1"/>
  <c r="E281" i="1"/>
  <c r="E283" i="1"/>
  <c r="E285" i="1"/>
  <c r="E286" i="1"/>
  <c r="E287" i="1"/>
  <c r="E288" i="1"/>
  <c r="E290" i="1"/>
  <c r="E291" i="1"/>
  <c r="E292" i="1"/>
  <c r="E293" i="1"/>
  <c r="E294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9" i="1"/>
  <c r="E311" i="1"/>
  <c r="E312" i="1"/>
  <c r="E314" i="1"/>
  <c r="E315" i="1"/>
  <c r="E317" i="1"/>
  <c r="E319" i="1"/>
  <c r="E320" i="1"/>
  <c r="E322" i="1"/>
  <c r="E324" i="1"/>
  <c r="E325" i="1"/>
  <c r="E326" i="1"/>
  <c r="E328" i="1"/>
  <c r="E329" i="1"/>
  <c r="E330" i="1"/>
  <c r="E331" i="1"/>
  <c r="E332" i="1"/>
  <c r="E333" i="1"/>
  <c r="E334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2" i="1"/>
  <c r="J284" i="1" l="1"/>
  <c r="J282" i="1"/>
  <c r="J274" i="1"/>
  <c r="J41" i="1"/>
  <c r="J269" i="1"/>
  <c r="J240" i="1"/>
  <c r="J32" i="1"/>
  <c r="J53" i="1"/>
  <c r="J47" i="1"/>
  <c r="J39" i="1"/>
  <c r="J25" i="1"/>
  <c r="E32" i="1"/>
  <c r="J21" i="1"/>
  <c r="E21" i="1"/>
  <c r="E365" i="1" s="1"/>
  <c r="F369" i="1" s="1"/>
  <c r="J20" i="1"/>
  <c r="F367" i="1" l="1"/>
  <c r="F368" i="1"/>
</calcChain>
</file>

<file path=xl/sharedStrings.xml><?xml version="1.0" encoding="utf-8"?>
<sst xmlns="http://schemas.openxmlformats.org/spreadsheetml/2006/main" count="5060" uniqueCount="710">
  <si>
    <t>cve_prod</t>
  </si>
  <si>
    <t>cse_prod</t>
  </si>
  <si>
    <t>existencia</t>
  </si>
  <si>
    <t>cosprom</t>
  </si>
  <si>
    <t>desc_prod</t>
  </si>
  <si>
    <t>uni_med</t>
  </si>
  <si>
    <t>CAR-CTD2X3005AXXX</t>
  </si>
  <si>
    <t>ACC. SOLAR</t>
  </si>
  <si>
    <t>TRANSFORMADOR DE CORRIENTE 300:5A</t>
  </si>
  <si>
    <t>PZ</t>
  </si>
  <si>
    <t>CAR-CTD2X5005AXXX</t>
  </si>
  <si>
    <t>TRANSFORMADOR DE CORRIENTE 500/5A</t>
  </si>
  <si>
    <t>CAR-CTD3X6005AXXX</t>
  </si>
  <si>
    <t>TRANSFORMADOR DE CORRIENTE 600A/5A</t>
  </si>
  <si>
    <t>CAR-CTD4X10005AXXX</t>
  </si>
  <si>
    <t>TRANSFORMADOR DE CORRIENTE 1000:5A</t>
  </si>
  <si>
    <t>DUR-HUB</t>
  </si>
  <si>
    <t>SISTEMA DE COMUNICACION HUB DURAVOLT 2W</t>
  </si>
  <si>
    <t>DUR-R-BRACKET</t>
  </si>
  <si>
    <t>SET BRACKETS PARA BATERÍAS DLFP-48100R</t>
  </si>
  <si>
    <t>DUR-V-BRACKET</t>
  </si>
  <si>
    <t>SET BRACKETS PARA BATERÍAS DLFP-V5</t>
  </si>
  <si>
    <t>PRE-IP66</t>
  </si>
  <si>
    <t>GABINETE ACERO 800X1000X300 MM IP66 IK10</t>
  </si>
  <si>
    <t>PYL-LV-HUB</t>
  </si>
  <si>
    <t>LV-HUB US PYLONTECH - 19.2KW-210KWH 48V</t>
  </si>
  <si>
    <t>PYL-LV-HUB-V2</t>
  </si>
  <si>
    <t>SISTEMA DE COMUNICACIÓN LV-HUB-V2 UF</t>
  </si>
  <si>
    <t>PYT-HV48100-BCU</t>
  </si>
  <si>
    <t>BATTERY CONTROL UNIT HV48100-BCU PYTES</t>
  </si>
  <si>
    <t>PYT-UPDATECABLE</t>
  </si>
  <si>
    <t>CABLE DE CONSOLA USB2.0 RJ45</t>
  </si>
  <si>
    <t>SIN-PDS1-50M</t>
  </si>
  <si>
    <t>50kW DCDC CONVERTER MODULE 250-800Vdc PV</t>
  </si>
  <si>
    <t>VIC-ASS030560200</t>
  </si>
  <si>
    <t>CABLE CON CONECTOR CIRCULAR M8</t>
  </si>
  <si>
    <t>VIC-ASS030560500</t>
  </si>
  <si>
    <t>CABLE M8 MACHO/HEMBRA 3 POLOS 5M</t>
  </si>
  <si>
    <t>VIC-BAM030712000</t>
  </si>
  <si>
    <t>MONITOR DE BATERÍAS BMV-712 SMART 6,5-70</t>
  </si>
  <si>
    <t>VIC-BMS400100000</t>
  </si>
  <si>
    <t>MINI BMS PARA BATERIAS CON PREALARMA</t>
  </si>
  <si>
    <t>VIC-BPR065022000</t>
  </si>
  <si>
    <t>SMART BATTERY PROTECT 12/24V 65A 12/24 V</t>
  </si>
  <si>
    <t>VIC-CIP000050001</t>
  </si>
  <si>
    <t>FUSE HOLDER PARA MIDI-FUSE</t>
  </si>
  <si>
    <t>VIC-CIP000100001</t>
  </si>
  <si>
    <t>FUSE HOLDER PARA MEGA-FUSE</t>
  </si>
  <si>
    <t>VIC-CIP100400060</t>
  </si>
  <si>
    <t>CC MODULAR BUSBAR TO CONECT 5 (500 A)</t>
  </si>
  <si>
    <t>VIC-CIP100400070</t>
  </si>
  <si>
    <t>CC MODULAR BUSBAR TO CONECT 6 (1500 A)</t>
  </si>
  <si>
    <t>VIC-CIP133060010</t>
  </si>
  <si>
    <t>MIDI-FUSE 60A/58V PARA PROD. DE 48V 60A</t>
  </si>
  <si>
    <t>VIC-CIP133080010</t>
  </si>
  <si>
    <t>MIDI-FUSE 80A/58V PARA PROD. DE 48V 80A</t>
  </si>
  <si>
    <t>VIC-CIP133100010</t>
  </si>
  <si>
    <t>MIDI-FUSE 100A/58V PARA PROD. DE 48V 10</t>
  </si>
  <si>
    <t>VIC-CIP134100020</t>
  </si>
  <si>
    <t>FUSIBLE MIDI-FUSE 100A/58V-M6 (PAQ 5 PZ)</t>
  </si>
  <si>
    <t>VIC-CIP136200010</t>
  </si>
  <si>
    <t>MEGA-FUSE 200A/32V (PAQ. 5 PZAS.) 200A</t>
  </si>
  <si>
    <t>VIC-CIP137200010</t>
  </si>
  <si>
    <t>MEGA-FUSE 200A/58V PARA PROD. DE 48V</t>
  </si>
  <si>
    <t>VIC-CIP137250010</t>
  </si>
  <si>
    <t>MEGA-FUSE 250A/58V PARA PROD. DE 48V</t>
  </si>
  <si>
    <t>VIC-CIP137300010</t>
  </si>
  <si>
    <t>MEGA-FUSE 300A/58V PARA PROD. DE 48V</t>
  </si>
  <si>
    <t>VIC-CIP138040020</t>
  </si>
  <si>
    <t>MEGA-FUSE 40A/80V (PAQUETE 5 PIEZAS)</t>
  </si>
  <si>
    <t>VIC-CIP138060020</t>
  </si>
  <si>
    <t>FUSIBLE MEGA-FUSE 60A/80V (5 PZAS)</t>
  </si>
  <si>
    <t>SET</t>
  </si>
  <si>
    <t>VIC-CIP138080020</t>
  </si>
  <si>
    <t>FUSIBLE MEGA-FUSE 80A/80V (5 PZAS)</t>
  </si>
  <si>
    <t>VIC-CIP138125020</t>
  </si>
  <si>
    <t>MEGA-FUSE 125A/80V (PAQ. 5 PZAS.) 125A</t>
  </si>
  <si>
    <t>VIC-CIP138200020</t>
  </si>
  <si>
    <t>FUSIBLE MEGA-FUSE 200A/80V (PAQ 5PZ)</t>
  </si>
  <si>
    <t>VIC-CIP138250020</t>
  </si>
  <si>
    <t>FUSIBLE MEGA-FUSE 250A/80V (5 PZAS)</t>
  </si>
  <si>
    <t>VIC-CIP138300020</t>
  </si>
  <si>
    <t>MEGA-FUSE 300A/80V (PAQ. 5 PZAS) 300A 8</t>
  </si>
  <si>
    <t>VIC-CIP138500020</t>
  </si>
  <si>
    <t>FUSIBLE MEGA-FUSE 500A/80V (PAQ. 5 PZAS)</t>
  </si>
  <si>
    <t>VIC-CIP140325000</t>
  </si>
  <si>
    <t>FUSE CNN 325A/80V for Lynk shunt (1 pc)</t>
  </si>
  <si>
    <t>VIC-LYN020102010</t>
  </si>
  <si>
    <t>BARRA DE BUS CC MODULAR LYNX POWER IN</t>
  </si>
  <si>
    <t>VIC-LYN034160200</t>
  </si>
  <si>
    <t>BARRA BUS CC MODULAR LYNX SMART BMS 500</t>
  </si>
  <si>
    <t>VIC-LYN034160310</t>
  </si>
  <si>
    <t>BARRA DE BUS LYNX SMART BMS 500</t>
  </si>
  <si>
    <t>VIC-LYN060102000</t>
  </si>
  <si>
    <t>BARRA DE BUS LYNX DISTRIBUTOR CUATRO FUS</t>
  </si>
  <si>
    <t>VIC-REL200300100</t>
  </si>
  <si>
    <t>RELE ENERGY METER VM-3P75CT</t>
  </si>
  <si>
    <t>VIC-SHU500050100</t>
  </si>
  <si>
    <t>DERIV. DE BATERIAS SHUNT 500A/50mV</t>
  </si>
  <si>
    <t>VIC-VBB125040010</t>
  </si>
  <si>
    <t>BUSBAR 250 A 4P+COVER VICTRON  70V 250A</t>
  </si>
  <si>
    <t>VIP-CIP134080020</t>
  </si>
  <si>
    <t>FUSIBLE MIDI-FUSE 80A/58V-M6 (PAQ 5 PZ)</t>
  </si>
  <si>
    <t>BLU-9003E</t>
  </si>
  <si>
    <t>ACCESORIOS</t>
  </si>
  <si>
    <t>INTERRUPTOR SINGLE CIRCUIT ON-OFF 9003E</t>
  </si>
  <si>
    <t>VIC-VBS127010010</t>
  </si>
  <si>
    <t>INTERRUPTOR / SWITCH ON/OFF 275A 48V</t>
  </si>
  <si>
    <t>CRO-C24-350</t>
  </si>
  <si>
    <t>AUTOMOTRIZ</t>
  </si>
  <si>
    <t>BAT AUT CRONOS (12V 437A CCA 60min CR)</t>
  </si>
  <si>
    <t>CRO-C34-420</t>
  </si>
  <si>
    <t>BAT AUT CRONOS (12V 656A CCA 80 MIN CR)</t>
  </si>
  <si>
    <t>LTH-CASCO1</t>
  </si>
  <si>
    <t>CASCO LTH GRUPO 1 (PIEZA)</t>
  </si>
  <si>
    <t>LTH-CASCO2</t>
  </si>
  <si>
    <t>CASCO LTH GRUPO 2 (PIEZA)</t>
  </si>
  <si>
    <t>LTH-CASCO3</t>
  </si>
  <si>
    <t>CASCO LTH GRUPO 3 (PIEZA)</t>
  </si>
  <si>
    <t>LTH-CASCO4</t>
  </si>
  <si>
    <t>CASCO LTH GRUPO 4 (PIEZA)</t>
  </si>
  <si>
    <t>LTH-CASCO5</t>
  </si>
  <si>
    <t>CASCO LTH GRUPO 5 (PIEZA)</t>
  </si>
  <si>
    <t>LTH-CASCO7</t>
  </si>
  <si>
    <t>CASCO LTH GRUPO 7 (PIEZA)</t>
  </si>
  <si>
    <t>LTH-H22F-550</t>
  </si>
  <si>
    <t>BAT AUT LTH (12V 550A CCA 100 MIN CR)</t>
  </si>
  <si>
    <t>LTH-H24-600</t>
  </si>
  <si>
    <t>BAT AUT LTH (12V 600A CCA 110 MIN CR)</t>
  </si>
  <si>
    <t>LTH-H3478-800</t>
  </si>
  <si>
    <t>BAT AUT LTH (12V 800A CCA 115 MIN CR)</t>
  </si>
  <si>
    <t>LTH-H35-585</t>
  </si>
  <si>
    <t>BAT AUT LTH (12V 585A CCA 100 MIN CR)</t>
  </si>
  <si>
    <t>LTH-H41-750</t>
  </si>
  <si>
    <t>BAT AUT LTH (12V 750A CCA 130 MIN CR)</t>
  </si>
  <si>
    <t>LTH-H47-LN2-600</t>
  </si>
  <si>
    <t>BAT AUT LTH (12V 600A CCA 102 MIN CR)</t>
  </si>
  <si>
    <t>LTH-H78-800</t>
  </si>
  <si>
    <t>BAT AUT LTH (12V 1000A CCA 110 MIN CR)</t>
  </si>
  <si>
    <t>LTH-L27-700</t>
  </si>
  <si>
    <t>BAT AUT LTH (12 V 875A CCA 160 MIN CR)</t>
  </si>
  <si>
    <t>LTH-L35-575</t>
  </si>
  <si>
    <t>BAT AUT LTH (12V 718A CCA 100 MIN CR)</t>
  </si>
  <si>
    <t>LTH-L41-650</t>
  </si>
  <si>
    <t>BAT AUT LTH (12V 650A CCA 120 MIN CR)</t>
  </si>
  <si>
    <t>LTH-L4891-760AGM</t>
  </si>
  <si>
    <t>BAT AUT AGM LTH (12V 950A CCA 120 MIN CR</t>
  </si>
  <si>
    <t>LTH-L51-500</t>
  </si>
  <si>
    <t>BAT AUT LTH (12V 625A CCA 85 MIN CR)</t>
  </si>
  <si>
    <t>LTH-L65-800</t>
  </si>
  <si>
    <t>BAT AUT LTH (12V 800A CCA 150 MIN CR)</t>
  </si>
  <si>
    <t>LTH-L94R800</t>
  </si>
  <si>
    <t>BAT AUT LTH (12V 800A CCA 140 MIN CR)</t>
  </si>
  <si>
    <t>LTHL48/91(LN3)615</t>
  </si>
  <si>
    <t>BAT AUT LTH (12V 768A CCA 95 MIN CR)</t>
  </si>
  <si>
    <t>LTHL48/91(LN3)730</t>
  </si>
  <si>
    <t>BAT AUT LTH (12V 730A CCA 115 MIN CR)</t>
  </si>
  <si>
    <t>LTHL94RLN4850AGM</t>
  </si>
  <si>
    <t>BAT AUT AGM LTH (12V 1062A CCA 140 MIN C</t>
  </si>
  <si>
    <t>SAN-CS-12-C1</t>
  </si>
  <si>
    <t>CARGADORES</t>
  </si>
  <si>
    <t>CARG BAT SELLADAS CS-12 SANIK 12V 1Ah</t>
  </si>
  <si>
    <t>WTL-WTL4830ZBB</t>
  </si>
  <si>
    <t>CARG BAT DE LITIO WTL4830ZBB WTL 48V 30A</t>
  </si>
  <si>
    <t>ALI-MODLFP-25100</t>
  </si>
  <si>
    <t>DIY BATT</t>
  </si>
  <si>
    <t>MODULO ALITHIUM (25.6V 100Ah) SOLDADA PR</t>
  </si>
  <si>
    <t>ALI-MODLFP-25100-T</t>
  </si>
  <si>
    <t>MODULO ALITHIUM (25.6V 100Ah) C/TORNILLO</t>
  </si>
  <si>
    <t>ANT-BMS-ANT32S12</t>
  </si>
  <si>
    <t>BATTERY MANAGEMENT SYSTEM (BMS) 8S-32S B</t>
  </si>
  <si>
    <t>ANTBMSANT48SHOST</t>
  </si>
  <si>
    <t>BATTERY MANAGEMENT SYSTEM (BMS) HOST 48S</t>
  </si>
  <si>
    <t>SAM-SA-035F</t>
  </si>
  <si>
    <t>PANEL DE CONTROL LCD 12V SA-035F SAMKOON</t>
  </si>
  <si>
    <t>SAF-LS14250-BK1</t>
  </si>
  <si>
    <t>ESPECIALIZ</t>
  </si>
  <si>
    <t>PILA 1/2 AA SAFT LITIO 3.6V 1.2Ah (C/1)</t>
  </si>
  <si>
    <t>ULT-ULA2N-B2</t>
  </si>
  <si>
    <t>PILA ULTRALAST ALKALINA 1.5V 400mAh(C/2)</t>
  </si>
  <si>
    <t>UNI-ER14250-BK1</t>
  </si>
  <si>
    <t>PILA 1/2 AA UNIROSS LITIO 3.6V 1.2Ah C/1</t>
  </si>
  <si>
    <t>DUO-J1772H-32A</t>
  </si>
  <si>
    <t>EVS</t>
  </si>
  <si>
    <t>CONECTOR H (VEHÍCULO) SAE J1772H-32A DUO</t>
  </si>
  <si>
    <t>DUO-J1772M-32A</t>
  </si>
  <si>
    <t>CONECTOR M (VEHICULO) SAE J1772M-32A DUO</t>
  </si>
  <si>
    <t>ENP-144/12</t>
  </si>
  <si>
    <t>CONVERTIDOR DC/DC 144/12 ENPOWER (500W)</t>
  </si>
  <si>
    <t>ENP-48/12</t>
  </si>
  <si>
    <t>CONVERTIDOR DC/DC 48/12 ENPOWER (500W)</t>
  </si>
  <si>
    <t>ENP-72/12</t>
  </si>
  <si>
    <t>CONVERTIDOR DC/DC 72/12 ENPOWER (30A)</t>
  </si>
  <si>
    <t>ENP-96/12</t>
  </si>
  <si>
    <t>CONVERTIDOR DC/DC 96/12 ENPOWER (30A)</t>
  </si>
  <si>
    <t>ENP-CH4100-144</t>
  </si>
  <si>
    <t>CARG BAT INTELIGENTE CH4100-144 ENPOWER</t>
  </si>
  <si>
    <t>ENP-CH4200-48</t>
  </si>
  <si>
    <t>CARG BAT INTELIGENTE CH4200-48 ENPOWER</t>
  </si>
  <si>
    <t>ENP-MC3336-72</t>
  </si>
  <si>
    <t>CTRL MOTRIZ MC3336-72 ENPOWER (72V 500A)</t>
  </si>
  <si>
    <t>ENP-MC3336-96</t>
  </si>
  <si>
    <t>CTRL MOTRIZ MC3336-96 ENPOWER (96V 500A)</t>
  </si>
  <si>
    <t>ENP-MC3528-48</t>
  </si>
  <si>
    <t>CTRL MOTRIZ MC3528-48 ENPOWER (48V 350A)</t>
  </si>
  <si>
    <t>ENP-P400</t>
  </si>
  <si>
    <t>PEDAL ELECTRÓNICO P400 ENPOWER (12V -)</t>
  </si>
  <si>
    <t>ENPMC3336E450144</t>
  </si>
  <si>
    <t>CTRL MOTRIZ MC3336E450 ENPOWER(144V 400A</t>
  </si>
  <si>
    <t>GEN-MHD-825</t>
  </si>
  <si>
    <t>KIT BOMBA DE VACIO FRENADO ELECTRÓNICO</t>
  </si>
  <si>
    <t>HUN-ES26F144</t>
  </si>
  <si>
    <t>COMPRESOR AA ELEC ES26F144 HUNAN 144V</t>
  </si>
  <si>
    <t>HUN-ES26F72</t>
  </si>
  <si>
    <t>COMPRESOR AA ELECTRICO ES26F72 HUNAN 72V</t>
  </si>
  <si>
    <t>SCR-SCRMP10U1</t>
  </si>
  <si>
    <t>MOTOR DE INDUCCIÓN SCROU (72V 7.5KW 23KW</t>
  </si>
  <si>
    <t>SCR-SCRMP18U2</t>
  </si>
  <si>
    <t>MOTOR DE INDUCCIÓN SCROU (108V 18KW 47KW</t>
  </si>
  <si>
    <t>SCR-YS220H020</t>
  </si>
  <si>
    <t>MOTOR DE INDUCCIÓN SCROU (144V 21KW 60KW</t>
  </si>
  <si>
    <t>SMH-SMHC3-7240A</t>
  </si>
  <si>
    <t>CARGADOR SMHC3-7240A SMHC (72V 40A)</t>
  </si>
  <si>
    <t>SMH-SMHC3-9632A</t>
  </si>
  <si>
    <t>CARG BAT SMHC3-9632A SMHC (96V 32A)</t>
  </si>
  <si>
    <t>YSQ-YSQ-5-48-18</t>
  </si>
  <si>
    <t>MOTOR DE INDUCCIÓN YSQ (48V 5KW 15 Kw)</t>
  </si>
  <si>
    <t>PAN-2CR5MPA/1BB1</t>
  </si>
  <si>
    <t>FOTO+VIDEO</t>
  </si>
  <si>
    <t>PILA FOTO 2CR5MPA1B PAN6V1400mAh(BL C/1)</t>
  </si>
  <si>
    <t>PAN-CR-2PA/1B-B1</t>
  </si>
  <si>
    <t>P FTO CR2PA/1B PSONIC 3V850mAh(BLT C1)</t>
  </si>
  <si>
    <t>PAN-CR-P2PA/1BB1</t>
  </si>
  <si>
    <t>PILA FOTO CRP2PA/1B PAN6V140mAh(BLT C/1)</t>
  </si>
  <si>
    <t>PANCR123APA/B1B1</t>
  </si>
  <si>
    <t>P FTO CR123APA/1B PAN3V1550mAh(BLT C/1)</t>
  </si>
  <si>
    <t>ULT-UL544A-B1</t>
  </si>
  <si>
    <t>P FTO UL544A ULTRALAST 6V105mAh(BLT C1)</t>
  </si>
  <si>
    <t>DUR- DEVL48-105</t>
  </si>
  <si>
    <t>LITIO</t>
  </si>
  <si>
    <t>BATERÍA LiFePO4 DEVL48-105 DURAVOLT</t>
  </si>
  <si>
    <t>DUR-DEVL48-104</t>
  </si>
  <si>
    <t>BATERÍA LiFePO4 DEVL48-104 DURAVOLT LSEV</t>
  </si>
  <si>
    <t>DUR-DLFP-200</t>
  </si>
  <si>
    <t>BATERÍA LiFePo4 DLFP12-200 DURAVOLT</t>
  </si>
  <si>
    <t>DUR-DLFP-48100R </t>
  </si>
  <si>
    <t>BATERÍA LiFePO4 DLFP-48100R DURAVOLT</t>
  </si>
  <si>
    <t>DUR-DLFP-V12</t>
  </si>
  <si>
    <t>BATERÍA LiFePO4 DLFP-V12 DURAVOLT</t>
  </si>
  <si>
    <t>DUR-DLFP-V5</t>
  </si>
  <si>
    <t>BATERÍA LiFePO4 DLFP-V5 DURAVOLT</t>
  </si>
  <si>
    <t>DUR-DLFP12-12</t>
  </si>
  <si>
    <t>BATERÍA LiFePo4 DLFP12-12 DURAVOLT</t>
  </si>
  <si>
    <t>ECO-DELT2-MAX</t>
  </si>
  <si>
    <t>ESTACIÓN DE ENERGÍA PORTÁTIL ECOFLOW</t>
  </si>
  <si>
    <t>PYL-FIDUS</t>
  </si>
  <si>
    <t>BATERÍA LiFePO4 FIDUS PYLONTECH</t>
  </si>
  <si>
    <t>PYL-FIDUS-16-PLUS</t>
  </si>
  <si>
    <t>BATERÍA LiFePO4 FIDUS-16-PLUS</t>
  </si>
  <si>
    <t>PYL-PELIO-L-5.12</t>
  </si>
  <si>
    <t>BATERÍA LiFePO4 PELIO-L-5.12 PYLONTECH</t>
  </si>
  <si>
    <t>PYL-UF5000</t>
  </si>
  <si>
    <t>BATERÍA LiFePO4 UF5000 PYLONTECH</t>
  </si>
  <si>
    <t>PYL-UP2500</t>
  </si>
  <si>
    <t>BATERÍA LiFePo4 UP2500 PYLONTECH</t>
  </si>
  <si>
    <t>PYL-US5000</t>
  </si>
  <si>
    <t>BATERÍA LiFePo4 US5000 PYLONTECH</t>
  </si>
  <si>
    <t>PYT-DLFP-HV48100-BMU</t>
  </si>
  <si>
    <t>BATERÍA LiFePO4 PYTES (51.2V 100Ah)</t>
  </si>
  <si>
    <t>VIC-BAT524130620</t>
  </si>
  <si>
    <t>BATERÍA LiFePO4 NG VICTRON (25.6V 300Ah)</t>
  </si>
  <si>
    <t>VIC-BAT548110620</t>
  </si>
  <si>
    <t>BATERÍA LiFePO4 NG VICTRON (51.2V 100Ah)</t>
  </si>
  <si>
    <t>GP-23AF/2C5-B5</t>
  </si>
  <si>
    <t>MICROBATER</t>
  </si>
  <si>
    <t>PILA CIL 23AF/2C5 23AGP BATTERIES ALK12V</t>
  </si>
  <si>
    <t>GP-27AF-2C5-B5</t>
  </si>
  <si>
    <t>PILA CIL 27AF-2C5 27AGP BATTERIES ALK12V</t>
  </si>
  <si>
    <t>MUR-189-B5</t>
  </si>
  <si>
    <t>PILA BOTÓN 189 LR1130 MURATA ALK 1.5V</t>
  </si>
  <si>
    <t>MUR-191-B5</t>
  </si>
  <si>
    <t>PILA BOTÓN 191 LR1120 MURATA ALK 1.5V</t>
  </si>
  <si>
    <t>MUR-192-B5</t>
  </si>
  <si>
    <t>PILA BOTON 192 LR41 MURATA ALKALINA 1.5V</t>
  </si>
  <si>
    <t>MUR-315-B5</t>
  </si>
  <si>
    <t>PILA BOTÓN 315 SR716SW MURATA Ag2O 1.55V</t>
  </si>
  <si>
    <t>MUR-317-B5</t>
  </si>
  <si>
    <t>PILA BOTÓN 317 SR516SW MURATA Ag2O 1.55V</t>
  </si>
  <si>
    <t>MUR-321-B5</t>
  </si>
  <si>
    <t>PILA BOTÓN 321 SR616SW MURATA Ag2O 1.55V</t>
  </si>
  <si>
    <t>MUR-362-B5</t>
  </si>
  <si>
    <t>PILA BOTÓN 362 SR721SW MURATA Ag2O 1.55V</t>
  </si>
  <si>
    <t>MUR-364-B5</t>
  </si>
  <si>
    <t>PILA BOTÓN 364 SR621SW MURATA Ag2O 1.55V</t>
  </si>
  <si>
    <t>MUR-371-B5</t>
  </si>
  <si>
    <t>PILA BOTÓN 371 SR920SW MURATA Ag2O 1.55V</t>
  </si>
  <si>
    <t>MUR-373-B5</t>
  </si>
  <si>
    <t>PILA BOTÓN 373 SR916SW MURATA Ag2O 1.55V</t>
  </si>
  <si>
    <t>MUR-377-B5</t>
  </si>
  <si>
    <t>PILA BOTÓN 377 SR626SW MURATA Ag2O 1.55V</t>
  </si>
  <si>
    <t>MUR-379-B5</t>
  </si>
  <si>
    <t>PILA BOTÓN 379 SR521SW MURATA Ag2O 1.55V</t>
  </si>
  <si>
    <t>MUR-394-B5</t>
  </si>
  <si>
    <t>PILA BOTÓN 394 SR936SW MURATA Ag2O 1.55V</t>
  </si>
  <si>
    <t>MUR-395/399-B5</t>
  </si>
  <si>
    <t>PILA BTN 395/399 MURATA Ag2O 1.55V</t>
  </si>
  <si>
    <t>MUR-A76-B5</t>
  </si>
  <si>
    <t>PILA BOTÓN A76 LR44 MURATA ALKALINA 1.5V</t>
  </si>
  <si>
    <t>MUR-CR1216-B5</t>
  </si>
  <si>
    <t>PILA MONEDA CR1216 MURATA LITIO 3 V</t>
  </si>
  <si>
    <t>MUR-CR1220-B5</t>
  </si>
  <si>
    <t>PILA MONEDA CR1220 MURATA LITIO 3 V</t>
  </si>
  <si>
    <t>MUR-CR1616-B5</t>
  </si>
  <si>
    <t>PILA MONEDA CR1616 MURATA LITIO 3 V</t>
  </si>
  <si>
    <t>MUR-CR1632-B5</t>
  </si>
  <si>
    <t>PILA MONEDA CR1632 MURATA LITIO 3 V</t>
  </si>
  <si>
    <t>MUR-CR2016-B5</t>
  </si>
  <si>
    <t>PILA MONEDA CR2016 MURATA LITIO 3 V</t>
  </si>
  <si>
    <t>MUR-CR2025-B5</t>
  </si>
  <si>
    <t>PILA MONEDA CR2025 MURATA LITIO 3 V</t>
  </si>
  <si>
    <t>MUR-CR2032-B5</t>
  </si>
  <si>
    <t>PILA MONEDA CR2032 MURATA LITIO 3 V</t>
  </si>
  <si>
    <t>MUR-CR2430-B5</t>
  </si>
  <si>
    <t>PILA MONEDA CR2430 MURATA LITIO 3 V</t>
  </si>
  <si>
    <t>PAN-A76-B10</t>
  </si>
  <si>
    <t>PILA BTN A76 LR44 PANASONIC ALKALINA 1.5</t>
  </si>
  <si>
    <t>PAN-CR1/3N-B5</t>
  </si>
  <si>
    <t>PILA BTN CR1/3N PANASONIC LITIO 3V</t>
  </si>
  <si>
    <t>PAN-CR1216-B5</t>
  </si>
  <si>
    <t>PILA MONEDA CR1216 PANASONIC LITIO 3 V</t>
  </si>
  <si>
    <t>PAN-CR1616-B5</t>
  </si>
  <si>
    <t>PILA MONEDA CR1616 PANASONIC LITIO 3 V</t>
  </si>
  <si>
    <t>PAN-CR1620-B5</t>
  </si>
  <si>
    <t>PILA MONEDA CR1620 PANASONIC LITIO 3 V</t>
  </si>
  <si>
    <t>PAN-CR1632-B5</t>
  </si>
  <si>
    <t>PILA MONEDA CR1632 PANASONIC LITIO 3 V</t>
  </si>
  <si>
    <t>PAN-CR2016-B5</t>
  </si>
  <si>
    <t>PILA MONEDA CR2016 PANASONIC LITIO 3 V</t>
  </si>
  <si>
    <t>PAN-CR2025-B5</t>
  </si>
  <si>
    <t>PILA MONEDA CR2025 PANASONIC LITIO 3 V</t>
  </si>
  <si>
    <t>PAN-CR2032-B5</t>
  </si>
  <si>
    <t>PILA MONEDA CR2032 PANASONIC LITIO 3 V</t>
  </si>
  <si>
    <t>PAN-CR2450/5B</t>
  </si>
  <si>
    <t>PILA DE MONERA CR2450PL/5B PANASONIC</t>
  </si>
  <si>
    <t>PAN-CR927-B5</t>
  </si>
  <si>
    <t>PILA BTN CR927 CR927 PANASONIC LITIO 3V</t>
  </si>
  <si>
    <t>LTH-CB7-A</t>
  </si>
  <si>
    <t>MOTO/ATV</t>
  </si>
  <si>
    <t>BATERÍA MOTO CB7-A LTH 12V 8Ah 105A CCA</t>
  </si>
  <si>
    <t>LTH-CTX12-BS</t>
  </si>
  <si>
    <t>BATERÍA MOTO CTX12-BS LTH 12V 10Ah 170A</t>
  </si>
  <si>
    <t>LTH-CTX14BS</t>
  </si>
  <si>
    <t>BATERÍA MOTO CTX-14BS LTH 12V 12Ah 200A</t>
  </si>
  <si>
    <t>LTH-CTX14L-BS</t>
  </si>
  <si>
    <t>BATERÍA MOTO CTX14L-BS LTH 12V 12Ah 200A</t>
  </si>
  <si>
    <t>LTH-CTX20CH-BS</t>
  </si>
  <si>
    <t>BATERÍA MOTO CTX20CH-BS LTH 12V 18Ah 270</t>
  </si>
  <si>
    <t>LTH-CTX20HL-BS</t>
  </si>
  <si>
    <t>BATERÍA MOTO CTX20HL-BS LTH 12V 18Ah 320</t>
  </si>
  <si>
    <t>LTH-CTX30L-BS</t>
  </si>
  <si>
    <t>BATERÍA MOTO CTX30L-BS LTH 12V 30Ah 450A</t>
  </si>
  <si>
    <t>LTH-CTX5L-BS</t>
  </si>
  <si>
    <t>BATERÍA MOTO CTX5L-BS LTH 12V 4Ah 75A</t>
  </si>
  <si>
    <t>LTH-CTX7A-BS</t>
  </si>
  <si>
    <t>BATERÍA MOTO CTX7A-BS LTH 12V 6Ah 90A</t>
  </si>
  <si>
    <t>LTH-CTX7L-BS</t>
  </si>
  <si>
    <t>BATERÍA MOTO CTX7L-BS LTH 12V 6Ah 90A</t>
  </si>
  <si>
    <t>DUR-V-BOX-OC</t>
  </si>
  <si>
    <t>OTROS</t>
  </si>
  <si>
    <t>GABINETE P/EXTERIOR IP55 DURAVOLT</t>
  </si>
  <si>
    <t>DUR-V12-HANDLE</t>
  </si>
  <si>
    <t>SUJETADOR PARA BATERIAS V12 DURAVOLT</t>
  </si>
  <si>
    <t>LIN-SR1912GN2G</t>
  </si>
  <si>
    <t>GABINETE MONTAJE PARED 19  DE 12 U</t>
  </si>
  <si>
    <t>LIN-SR1924GFP</t>
  </si>
  <si>
    <t>GABIENTE PARED 19  DE 24 U LINKEDPRO RAC</t>
  </si>
  <si>
    <t>LIN-SR1924GN2G</t>
  </si>
  <si>
    <t>GABINETE MONTAJE PARED 19  DE 24 U</t>
  </si>
  <si>
    <t>OSS-GABINETE-3-10</t>
  </si>
  <si>
    <t>GABINETE SISTEMA OSS BLINK 3-10 KVA</t>
  </si>
  <si>
    <t>PCB-48100R</t>
  </si>
  <si>
    <t>TARJETA REMPLAZO P/BATERÍA DLFP-48100R D</t>
  </si>
  <si>
    <t>PCB-US3000C</t>
  </si>
  <si>
    <t>TARJETA REMPLAZO P/BATERÍA US3000C PYLON</t>
  </si>
  <si>
    <t>PCB-US5000</t>
  </si>
  <si>
    <t>TARJETA REMPLAZO P/BATERÍA US5000 PYLONT</t>
  </si>
  <si>
    <t>PCB-V5</t>
  </si>
  <si>
    <t>TARJETA REMPLAZO P/BATERÍA DLFP-V5 DURAV</t>
  </si>
  <si>
    <t>PYL-PGM-BRACKET</t>
  </si>
  <si>
    <t>KIT BRACKET GROUND MOUNT PELIO PYLONTECH</t>
  </si>
  <si>
    <t>PYL-PWM-BRACKET</t>
  </si>
  <si>
    <t>KIT BRACKET WALL MOUNT PELIO PYLONTECH</t>
  </si>
  <si>
    <t>PYL-RK2000</t>
  </si>
  <si>
    <t>RACK PARA BATERÍAS PYLONTECH</t>
  </si>
  <si>
    <t>PYT-HV48100-12S</t>
  </si>
  <si>
    <t>GABINETE PARA 12 BATERÍAS PYTES</t>
  </si>
  <si>
    <t>PYT-HV48100-8S</t>
  </si>
  <si>
    <t>GABINETE PARA 8 BATERÍAS PYTES</t>
  </si>
  <si>
    <t>LONLR572HPH580M</t>
  </si>
  <si>
    <t>P. SOLARES</t>
  </si>
  <si>
    <t>MODULO FOTOVOLTAICO LR5-72HTH-580M LONG</t>
  </si>
  <si>
    <t>EEM-LIR17500-BK1</t>
  </si>
  <si>
    <t>RECARGABLE</t>
  </si>
  <si>
    <t>PILA A RECARGABLE LI-ION 3.7V (BULK C/1)</t>
  </si>
  <si>
    <t>ENE-AAABP2-B2</t>
  </si>
  <si>
    <t>10PR230HEP/6C ZAIR 1.4V100mAh(BC/6)</t>
  </si>
  <si>
    <t>ENE-AABP2-B2</t>
  </si>
  <si>
    <t>PILA AA ENERGIZER REC UNIV NI-MH 1.2V(2)</t>
  </si>
  <si>
    <t>UNI-16340-B1</t>
  </si>
  <si>
    <t>PILA REC UNIROSS 650 LI-ION 3.7V (C/1)</t>
  </si>
  <si>
    <t>UNI-UH2AAA1100-B2</t>
  </si>
  <si>
    <t>PILA AAA RECARGABLE UNIROSS BLISTER C/2</t>
  </si>
  <si>
    <t>UNI-UH4AA2500-B4</t>
  </si>
  <si>
    <t>REC UNIROSS2500S PRM NIMH1.2V(BLISTERC4)</t>
  </si>
  <si>
    <t>CAR-MPPT12/2420D</t>
  </si>
  <si>
    <t>S.AISLADOS</t>
  </si>
  <si>
    <t>MPPT12/24-20D CARSPA MPPT 20A 12/24V</t>
  </si>
  <si>
    <t>EPE-XTRA1210N</t>
  </si>
  <si>
    <t>XTRA1210N EPEVER MPPT 10 A 12/24 V</t>
  </si>
  <si>
    <t>SCH-PI-750</t>
  </si>
  <si>
    <t>INVERSOR SCHUMACHER ONDA PURA 750W 12V</t>
  </si>
  <si>
    <t>SOL-D3000</t>
  </si>
  <si>
    <t>INVERSOR D3000 SOLID ONDA PURA 3000W 24V</t>
  </si>
  <si>
    <t>VIC-PIN242122500</t>
  </si>
  <si>
    <t>INVERSOR PHOENIX 24/1200 VE.DIRECT NEMA</t>
  </si>
  <si>
    <t>VIC-PIN243020100</t>
  </si>
  <si>
    <t>INVERSOR PHOENIX 24/3000 VE.BUS ONDA PUR</t>
  </si>
  <si>
    <t>VIC-PIN481800500</t>
  </si>
  <si>
    <t>INVERSOR PHOENIX 48/800 VE.DIRECT NEMA 5</t>
  </si>
  <si>
    <t>VIC-PIN485010500</t>
  </si>
  <si>
    <t>INVERSOR PHOENIX 48/500 VE.DIRECT NEMA 5</t>
  </si>
  <si>
    <t>VIC-SBS050100200</t>
  </si>
  <si>
    <t>SMART BATTERY SENSE 3M (CORTO ALCANCE)</t>
  </si>
  <si>
    <t>VIC-SBS050150200</t>
  </si>
  <si>
    <t>SMART BATTERY SENSE 10M (LARGO ALCANCE)</t>
  </si>
  <si>
    <t>VIC-SCC115035210</t>
  </si>
  <si>
    <t>SMARTSOLAR MPPT 150/35 35 A 12/24/48 V</t>
  </si>
  <si>
    <t>VIC-SCC115045212</t>
  </si>
  <si>
    <t>SMARTSOLAR MPPT 150/45 45 A 12/24/48 V</t>
  </si>
  <si>
    <t>VIC-SCC115060211</t>
  </si>
  <si>
    <t>SMARTSOLAR MPPT 150/60-TR 60 A 12/24/48</t>
  </si>
  <si>
    <t>VIC-SCC115070411</t>
  </si>
  <si>
    <t>SMARTSOLAR MPPT 150/70-TR VE. CAN 70 A</t>
  </si>
  <si>
    <t>VIC-SCC115085411</t>
  </si>
  <si>
    <t>SMARTSOLAR MPPT 150/85-TR 85 A 12/24/48</t>
  </si>
  <si>
    <t>VIC-SCC115110411</t>
  </si>
  <si>
    <t>SMARTSOLAR MPPT 150/100-TR 100 A 12/24/</t>
  </si>
  <si>
    <t>VIC-SCC125070421</t>
  </si>
  <si>
    <t>SMARTSOLAR MPPT 250/70-TR 70 A 12/24/48V</t>
  </si>
  <si>
    <t>VIC-SCC125085411</t>
  </si>
  <si>
    <t>SMARTSOLAR MPPT 250/85-TR 85 A 12/24/48</t>
  </si>
  <si>
    <t>VIC-SCC125110412</t>
  </si>
  <si>
    <t>SMARTSOLAR MPPT 250/100-Tr-VE.CAN 100 A</t>
  </si>
  <si>
    <t>VIC-SCC145110510</t>
  </si>
  <si>
    <t>CONTR. SMARTOLAR MPPT RS 450/100 MC4</t>
  </si>
  <si>
    <t>VIC-SCC145110512</t>
  </si>
  <si>
    <t>CONTROLADOR SMARTSOLAR MPPT RS 450/100</t>
  </si>
  <si>
    <t>VIC-SCC145120510</t>
  </si>
  <si>
    <t>CONTROLADOR MPPT RS 450/200-MC4 200A 48V</t>
  </si>
  <si>
    <t>VIC-SCC145120512</t>
  </si>
  <si>
    <t>CONTROLADOR SMARTSOLAR MPPT RS 450/200</t>
  </si>
  <si>
    <t>VIC-SCC900650010</t>
  </si>
  <si>
    <t>PANTALLA SMARTSOLAR PLUGGABLE DISPLAY</t>
  </si>
  <si>
    <t>VICSCC010015050R</t>
  </si>
  <si>
    <t>CONTROLADOR BLUESOLAR MPPT 75/15 12/24 V</t>
  </si>
  <si>
    <t>VICSCC110020160R</t>
  </si>
  <si>
    <t>SMARTSOLAR MPPT 100/20 20 A 12/24 V</t>
  </si>
  <si>
    <t>AUD-CAT5E</t>
  </si>
  <si>
    <t>S.HIBRIDOS</t>
  </si>
  <si>
    <t>CABLE COM GROWATT/PYLONTECH 2.10 M CAT5E</t>
  </si>
  <si>
    <t>BYD-BYD BMU</t>
  </si>
  <si>
    <t>UNIDAD DE CONTROL BMU BYD 200mAh 40/60</t>
  </si>
  <si>
    <t>CAR-EM530DINAV53XS1X</t>
  </si>
  <si>
    <t>MEDIDOR DE ENERGIA 3-PH</t>
  </si>
  <si>
    <t>DUR-CABLE-3.5M-L</t>
  </si>
  <si>
    <t>CABLE DE COMUNICACIÓN 3.5M-L DURAVOLT</t>
  </si>
  <si>
    <t>DUR-CABLE-3.5M-V</t>
  </si>
  <si>
    <t>CABLE DE COMUNICACIÓN 3.5M-V DURAVOLT</t>
  </si>
  <si>
    <t>DUR-CABLE-RS233</t>
  </si>
  <si>
    <t>DUR-CABLE-SC258</t>
  </si>
  <si>
    <t>SET DE CABLES DE CORRIENTE BATERIA 48100</t>
  </si>
  <si>
    <t>DUR-CABLE-SC7010</t>
  </si>
  <si>
    <t>SET DE CABLES DE CORRIENTE BATERIA V5</t>
  </si>
  <si>
    <t>GRO-SPF 4000 DVM</t>
  </si>
  <si>
    <t>INVERSOR SPF 4000T GROWATT 4kVA 120/240V</t>
  </si>
  <si>
    <t>GRO-WIFI-F</t>
  </si>
  <si>
    <t>MONITOREO WiFi-F GROWATT USB 1A 5V</t>
  </si>
  <si>
    <t>LUX-LXP-LB-US 12K</t>
  </si>
  <si>
    <t>INVERSOR LUXPOWER ONDA PURA 12000W 48V</t>
  </si>
  <si>
    <t>LUX-LXP-LB-US 8K</t>
  </si>
  <si>
    <t>INVERSOR LUXPOWER ONDA PURA 8000W 48V</t>
  </si>
  <si>
    <t>LUX-SNA-3000W</t>
  </si>
  <si>
    <t>INVERSOR CARGADOR LUXPOWER 3000W 48V</t>
  </si>
  <si>
    <t>LUX-SNA-US 6000</t>
  </si>
  <si>
    <t>INVERSOR LUXPOWER ONDA PURA 6000W 48V</t>
  </si>
  <si>
    <t>PYL-CABLES KIT</t>
  </si>
  <si>
    <t>PYL-CABLES KIT US5000 / UF5000</t>
  </si>
  <si>
    <t>PYL-CABLES KIT PELIO</t>
  </si>
  <si>
    <t>CABLES KIT PELIO PYLONTECH 2.5M</t>
  </si>
  <si>
    <t>PYL-CABLES-FIDUS-P</t>
  </si>
  <si>
    <t>CABLES KIT FIDUS PLUS PYLONTECH - 200A</t>
  </si>
  <si>
    <t>VIC-ASS030140000</t>
  </si>
  <si>
    <t>CABLE DE CONEXION MK3-USB (VE.BUS A USB)</t>
  </si>
  <si>
    <t>VIC-ASS030140030</t>
  </si>
  <si>
    <t>CABLE DE CONEXION INTERFACE MK3-USB-C</t>
  </si>
  <si>
    <t>VIC-ASS030530218</t>
  </si>
  <si>
    <t>CABLE DE CONEXION VE.DIRECT 1.8M ANGULO</t>
  </si>
  <si>
    <t>VIC-ASS030530250</t>
  </si>
  <si>
    <t>CABLE DE CONEXION VE.DIRECT 5M</t>
  </si>
  <si>
    <t>VIC-ASS030536011</t>
  </si>
  <si>
    <t>SMART DONGLE VE.DIRECT BLUETOOTH</t>
  </si>
  <si>
    <t>VIC-ASS030572018</t>
  </si>
  <si>
    <t>CABLE DE CONEXION RS485 TO USB</t>
  </si>
  <si>
    <t>VIC-ASS030710018</t>
  </si>
  <si>
    <t>CABLE VE.CAN TO CAN-BUS BMS TYPE A 1.8M</t>
  </si>
  <si>
    <t>VIC-ASS030710050</t>
  </si>
  <si>
    <t>CABLE VE.CAN TO CAN-BUS BMS TYPE A 5M</t>
  </si>
  <si>
    <t>VIC-ASS030710118</t>
  </si>
  <si>
    <t>VIC-ASS030720018</t>
  </si>
  <si>
    <t>CABLE VE.CAN TO CAN-BUS BMS TYPE B 1.8M</t>
  </si>
  <si>
    <t>VIC-ASS030720050</t>
  </si>
  <si>
    <t>CABLE VE.CAN TO CAN-BUS BMS TYPE B 5M</t>
  </si>
  <si>
    <t>VIC-ASS030720118</t>
  </si>
  <si>
    <t>CABLE VE.CAN TO CAN-BUS BMS TYPE B</t>
  </si>
  <si>
    <t>VIC-ASS050400000</t>
  </si>
  <si>
    <t>SOPORTE PARA COLOR CONTROL GX (3)</t>
  </si>
  <si>
    <t>VIC-ASS050600000</t>
  </si>
  <si>
    <t>SOPORTE COLOR CONTROL GX AND BMV OR MPPT</t>
  </si>
  <si>
    <t>VIC-ASS300420100</t>
  </si>
  <si>
    <t>ANTENA ZIGBBE TO RS485 CONVERTER VICTRON</t>
  </si>
  <si>
    <t>VIC-BPC120134124R</t>
  </si>
  <si>
    <t>CARGADOR BLUE SMART IP65 6V/12V-1.1 120V</t>
  </si>
  <si>
    <t>VIC-BPP900100200</t>
  </si>
  <si>
    <t>ADAPTADOR WIFI CCGX WIFI MODULE SIMPLE</t>
  </si>
  <si>
    <t>VIC-BPP900450100</t>
  </si>
  <si>
    <t>CENTRO DE COMUNICACIONES CERBO GX</t>
  </si>
  <si>
    <t>VIC-BPP900451100</t>
  </si>
  <si>
    <t>CENTRO DE COMUNICACIONES CERBO GX 8 -70</t>
  </si>
  <si>
    <t>VIC-BPP900455050</t>
  </si>
  <si>
    <t>CENTRO DE COMUNICACIONES GX TOUCH 50</t>
  </si>
  <si>
    <t>VIC-BPP900465050</t>
  </si>
  <si>
    <t>SOPORTE DE GX TOUCH 50 WALL MOUNT</t>
  </si>
  <si>
    <t>VIC-BPP900480100</t>
  </si>
  <si>
    <t>CENTRO DE COMUNICACIONES EKRANO GX  8-70</t>
  </si>
  <si>
    <t>VIC-BPP900495100</t>
  </si>
  <si>
    <t>SOPORTE EKRANO GX WALL MOUNT</t>
  </si>
  <si>
    <t>VIC-BPP910200100</t>
  </si>
  <si>
    <t>CENTRO DE COMUNICACIONES OCTO GX</t>
  </si>
  <si>
    <t>VIC-CMP122200000</t>
  </si>
  <si>
    <t>MULTIPLUS COMPACT 12/2000/80-30 230V VE.</t>
  </si>
  <si>
    <t>VIC-PMP482305102</t>
  </si>
  <si>
    <t>MULTIPLUS II 48/3000/35-50 120V UL 1741</t>
  </si>
  <si>
    <t>VIC-PMP482505110</t>
  </si>
  <si>
    <t>MULTIPLUS II 48/5000/70-95 120V 5000 VA</t>
  </si>
  <si>
    <t>VIC-QUA483100100</t>
  </si>
  <si>
    <t>QUATTRO 48/10000/140 120V VE.BUS 8000 W</t>
  </si>
  <si>
    <t>VIC-QUA483100102</t>
  </si>
  <si>
    <t>QUATTRO 48/10000/140 120V UL 10000 VA</t>
  </si>
  <si>
    <t>VIC-QUA483150100</t>
  </si>
  <si>
    <t>QUATTRO 48/15000/200 277V VE.BUS 15000 W</t>
  </si>
  <si>
    <t>VIC-QUA485021100</t>
  </si>
  <si>
    <t>QUATTRO 48/5000/70 120V VE.BUS 4000 W</t>
  </si>
  <si>
    <t>VIC-REL200100000</t>
  </si>
  <si>
    <t>MEDIDOR EM24 TRIFÁSICO 65A/FASE 3 FASES</t>
  </si>
  <si>
    <t>DUR-D12-12</t>
  </si>
  <si>
    <t>SELLA VRLA</t>
  </si>
  <si>
    <t>BSELL D12-12DURAVOLT VRLA AGM(12V12Ah)</t>
  </si>
  <si>
    <t>DUR-D12-18</t>
  </si>
  <si>
    <t>BSELL D12-18DURAVOLT VRLA AGM(12V18Ah)</t>
  </si>
  <si>
    <t>DUR-D12-22</t>
  </si>
  <si>
    <t>BAT SELL D12-22 DV VRLA AGM(12V22Ah)</t>
  </si>
  <si>
    <t>DUR-D12-3.3</t>
  </si>
  <si>
    <t>BSELL D12-3.3DURAVOLT VRLA AGM(12V3.2Ah)</t>
  </si>
  <si>
    <t>DUR-D12-4.5</t>
  </si>
  <si>
    <t>BSELLD12-4.5DURAVOLT VRLA AGM(12V4.5Ah)</t>
  </si>
  <si>
    <t>DUR-D12-5</t>
  </si>
  <si>
    <t>BSELL D12-5 DURAVOLT VRLA AGM(12V5Ah)</t>
  </si>
  <si>
    <t>DUR-D12-7</t>
  </si>
  <si>
    <t>BSELL D12-7 DURAVOLT VRLA AGM(12V7Ah)</t>
  </si>
  <si>
    <t>DUR-D12-9</t>
  </si>
  <si>
    <t>BSELL D12-9 DURAVOLT VRLA AGM(12V9Ah)</t>
  </si>
  <si>
    <t>DUR-D4-4</t>
  </si>
  <si>
    <t>BSELL D4-4 DURAVOLT VRLA AGM(4V4Ah)</t>
  </si>
  <si>
    <t>DUR-D6-1.2</t>
  </si>
  <si>
    <t>BSELL D6-1.2DURAVOLT VRLA AGM(6V1.3Ah)</t>
  </si>
  <si>
    <t>DUR-D6-12</t>
  </si>
  <si>
    <t>BSELL D6-12 DURAVOLT VRLA AGM(6V12Ah)</t>
  </si>
  <si>
    <t>DUR-D6-4.5</t>
  </si>
  <si>
    <t>BSELL D6-4.5 DURAVOLT VRLA AGM(6V5Ah)</t>
  </si>
  <si>
    <t>DUR-D6-7</t>
  </si>
  <si>
    <t>BSELL D6-7 DURAVOLT VRLA AGM(6V7Ah)</t>
  </si>
  <si>
    <t>DUR-DEV12-33</t>
  </si>
  <si>
    <t>BSELL DEV12-33 DURAVOLT AGM (12 V 35 Ah)</t>
  </si>
  <si>
    <t>DUR-DEV8-180</t>
  </si>
  <si>
    <t>BSELL DEV8-180 DURAVOLT AGM (8 V 180 Ah)</t>
  </si>
  <si>
    <t>DUR-DG12-100</t>
  </si>
  <si>
    <t>BATERIA SELLADA DG12-100 DURAVOLT VRLA A</t>
  </si>
  <si>
    <t>DUR-DG12-115</t>
  </si>
  <si>
    <t>BSELL DG12-115 DURAVOLT AGM (12 V 120Ah)</t>
  </si>
  <si>
    <t>DUR-DG12-150</t>
  </si>
  <si>
    <t>BSELL DG12-150 DURAVOLT AGM (12 V 150Ah)</t>
  </si>
  <si>
    <t>DUR-DG12-230</t>
  </si>
  <si>
    <t>BSELL DG12-230 DURAVOLT AGM (12 V 230Ah)</t>
  </si>
  <si>
    <t>DUR-DG12-40</t>
  </si>
  <si>
    <t>BATERIA SELLADA DG12-40 DURAVOLT VRLA AG</t>
  </si>
  <si>
    <t>DUR-DG12-55</t>
  </si>
  <si>
    <t>BATERIA SELLADA DG12-55 DURAVOLT VRLAAGM</t>
  </si>
  <si>
    <t>DUR-DG12-80</t>
  </si>
  <si>
    <t>BSELL DG12-80 DURAVOLT AGM (12 V 80Ah)</t>
  </si>
  <si>
    <t>SAN-CS-6-C1</t>
  </si>
  <si>
    <t>CARG BAT SELLADAS CS-6 SANIK 6V 1Ah</t>
  </si>
  <si>
    <t>UNI-UPG-84038</t>
  </si>
  <si>
    <t>CARG BAT SELLADAS UPG-84038 12V 4Ah</t>
  </si>
  <si>
    <t>UPG-71704-C1</t>
  </si>
  <si>
    <t>CARG BAT SELLADAS 71704 UPG 24V 5Ah</t>
  </si>
  <si>
    <t>UPG-UB445</t>
  </si>
  <si>
    <t>BATERÍA SELLADA UPG VRLA AGM (4V 4.5Ah)</t>
  </si>
  <si>
    <t>VIC-BAT412201084</t>
  </si>
  <si>
    <t>BATERÍA AGM VICTRON (12V 220Ah)</t>
  </si>
  <si>
    <t>UNI-UN281-B1</t>
  </si>
  <si>
    <t>TEL-INAL</t>
  </si>
  <si>
    <t>B TEL IN UN281 UNIROSS NI MH2.4 V(BLC/1)</t>
  </si>
  <si>
    <t>TRO-27TMX</t>
  </si>
  <si>
    <t>TROJAN</t>
  </si>
  <si>
    <t>BATERÍA INUNDADA 27TMX TROJAN (12 V 105</t>
  </si>
  <si>
    <t>TRO-J305E-AC</t>
  </si>
  <si>
    <t>BATERÍA INUNDADA J305E-AC TROJ(6V305Ah)</t>
  </si>
  <si>
    <t>TRO-J305G-AC</t>
  </si>
  <si>
    <t>BATERÍA INUNDADA J305G-AC TROJ(6V315Ah)</t>
  </si>
  <si>
    <t>TRO-L16E-AC</t>
  </si>
  <si>
    <t>BATERÍA INUNDADA L16E-AC TROJAN(6V370Ah)</t>
  </si>
  <si>
    <t>TRO-L16G-AC</t>
  </si>
  <si>
    <t>BATERÍA INUNDADA L16G-AC TROJAN(6V390Ah)</t>
  </si>
  <si>
    <t>TRO-T105+</t>
  </si>
  <si>
    <t>BATERÍA INUNDADA T105+ TROJAN (6V 225Ah)</t>
  </si>
  <si>
    <t>TRO-T1275+</t>
  </si>
  <si>
    <t>BATERÍA INUNDADA T1275+ TROJAN(12V150Ah)</t>
  </si>
  <si>
    <t>TRO-T875</t>
  </si>
  <si>
    <t>BATERÍA INUNDADA T875 TROJAN (8V 170Ah)</t>
  </si>
  <si>
    <t>ENE-9V522BP-B1</t>
  </si>
  <si>
    <t>USO GRAL</t>
  </si>
  <si>
    <t>PILA 9V ENERGIZER ALKALINE POWER 9V(C/1)</t>
  </si>
  <si>
    <t>ENE-AAABP4-B4</t>
  </si>
  <si>
    <t>PILA AAA ENERGIZER ALK ALK PW1.5V(BL C4)</t>
  </si>
  <si>
    <t>ENE-AABP4-B4</t>
  </si>
  <si>
    <t>PILA AA ENERGIZER ALKALINE POWER 1.5V(4)</t>
  </si>
  <si>
    <t>ENE-CE93BP2-B2</t>
  </si>
  <si>
    <t>PILA C ENERGIZER ALKALINE POWER 1.5V C/2</t>
  </si>
  <si>
    <t>ENE-DE95BP2-B2</t>
  </si>
  <si>
    <t>PD ENERGIZER ALK ALK POWER1.5V(BL C/2)</t>
  </si>
  <si>
    <t>LTH-55PA-AA-4</t>
  </si>
  <si>
    <t>PILA AA LTH ALKALINA - 1.5V BLISTER C/4</t>
  </si>
  <si>
    <t>LTH-55PA-AA02</t>
  </si>
  <si>
    <t>PILA AA LTH ALKALINA - 1.5V (BLISTER C/2</t>
  </si>
  <si>
    <t>LTH-55PA-AAA-4</t>
  </si>
  <si>
    <t>PILA AAA LTH ALKALINA - 1.5V BLISTER C/4</t>
  </si>
  <si>
    <t>LTH-55PA-AAA02</t>
  </si>
  <si>
    <t>PILA AAA LTH ALKALINA-1.5V (BLISTER C/2</t>
  </si>
  <si>
    <t>PKC-PK8221</t>
  </si>
  <si>
    <t>CARGADORES S/BATERIA PK8221 PKCELL</t>
  </si>
  <si>
    <t>ULT-ULA2AAAA-B2</t>
  </si>
  <si>
    <t>312PR312HEP/6C ZAIR 1.4V170mAh(BC/6)</t>
  </si>
  <si>
    <t>UNI-UCU004</t>
  </si>
  <si>
    <t>CARG C/BAT UCU004 UNIROSS 5V 1 Ah + 4 x</t>
  </si>
  <si>
    <t>UNI-UCW015A-USB1</t>
  </si>
  <si>
    <t>CARG C/BAT UCW015A-US UNIROSS + 4 AA</t>
  </si>
  <si>
    <t>Costo_Exist_M.N.</t>
  </si>
  <si>
    <t>Prom de venta mensual</t>
  </si>
  <si>
    <t>Meses de inventario</t>
  </si>
  <si>
    <t>Caducidad</t>
  </si>
  <si>
    <t>Fecha de ultimo ingreso</t>
  </si>
  <si>
    <t>comentarios</t>
  </si>
  <si>
    <t>Ventas mar2025 a feb2026</t>
  </si>
  <si>
    <t>Nuevo</t>
  </si>
  <si>
    <t>OSS</t>
  </si>
  <si>
    <t>Pedido</t>
  </si>
  <si>
    <t>Refacciones</t>
  </si>
  <si>
    <t>3 PCS</t>
  </si>
  <si>
    <t>10 PCS</t>
  </si>
  <si>
    <t>20 PCS</t>
  </si>
  <si>
    <t>276 pcs</t>
  </si>
  <si>
    <t>1,500 pcs</t>
  </si>
  <si>
    <t>1,000 pcs</t>
  </si>
  <si>
    <t>216 pcs</t>
  </si>
  <si>
    <t>500 PCS</t>
  </si>
  <si>
    <t>10 pcs</t>
  </si>
  <si>
    <t>5 pcs</t>
  </si>
  <si>
    <t>Exceso</t>
  </si>
  <si>
    <t>Costo_Exceso_M.N.</t>
  </si>
  <si>
    <t>Ventas sep2025 a feb2026</t>
  </si>
  <si>
    <t>500 pcs</t>
  </si>
  <si>
    <t>Exceso en Meses de inventario</t>
  </si>
  <si>
    <t>Inv Actual</t>
  </si>
  <si>
    <t>Verde</t>
  </si>
  <si>
    <t>Fiscal</t>
  </si>
  <si>
    <t>Inv exce al 9mar2026</t>
  </si>
  <si>
    <t>Costo exceso al 09mar2026</t>
  </si>
  <si>
    <t>2033</t>
  </si>
  <si>
    <t>2034</t>
  </si>
  <si>
    <t>2031</t>
  </si>
  <si>
    <t>Inv exce al 17mar2026</t>
  </si>
  <si>
    <t>Costo exceso al 17mar2026</t>
  </si>
  <si>
    <t>Inv exce al 23mar2026</t>
  </si>
  <si>
    <t>Costo exceso al 23mar2026</t>
  </si>
  <si>
    <t>En riesgo</t>
  </si>
  <si>
    <t>Rezagado</t>
  </si>
  <si>
    <t>Inv exce al 30mar2026</t>
  </si>
  <si>
    <t>Costo exceso al 30mar2026</t>
  </si>
  <si>
    <t>Inv exce al 6abr2026</t>
  </si>
  <si>
    <t>Costo exceso al 6abr2026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</si>
</sst>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164" fontId="0" fillId="0" borderId="0" xfId="42" applyNumberFormat="1" applyFont="1"/>
    <xf numFmtId="4" fontId="0" fillId="0" borderId="0" xfId="0" applyNumberFormat="1"/>
    <xf numFmtId="0" fontId="0" fillId="33" borderId="0" xfId="0" applyFill="1"/>
    <xf numFmtId="4" fontId="0" fillId="33" borderId="0" xfId="0" applyNumberFormat="1" applyFill="1"/>
    <xf numFmtId="164" fontId="0" fillId="33" borderId="0" xfId="42" applyNumberFormat="1" applyFont="1" applyFill="1"/>
    <xf numFmtId="2" fontId="0" fillId="33" borderId="0" xfId="0" applyNumberFormat="1" applyFill="1"/>
    <xf numFmtId="0" fontId="0" fillId="34" borderId="0" xfId="0" applyFill="1"/>
    <xf numFmtId="4" fontId="0" fillId="34" borderId="0" xfId="0" applyNumberFormat="1" applyFill="1"/>
    <xf numFmtId="164" fontId="0" fillId="34" borderId="0" xfId="42" applyNumberFormat="1" applyFont="1" applyFill="1"/>
    <xf numFmtId="2" fontId="0" fillId="34" borderId="0" xfId="0" applyNumberFormat="1" applyFill="1"/>
    <xf numFmtId="0" fontId="0" fillId="35" borderId="0" xfId="0" applyFill="1"/>
    <xf numFmtId="4" fontId="0" fillId="35" borderId="0" xfId="0" applyNumberFormat="1" applyFill="1"/>
    <xf numFmtId="164" fontId="0" fillId="35" borderId="0" xfId="42" applyNumberFormat="1" applyFont="1" applyFill="1"/>
    <xf numFmtId="2" fontId="0" fillId="35" borderId="0" xfId="0" applyNumberFormat="1" applyFill="1"/>
    <xf numFmtId="14" fontId="0" fillId="34" borderId="0" xfId="0" applyNumberFormat="1" applyFill="1"/>
    <xf numFmtId="14" fontId="0" fillId="33" borderId="0" xfId="0" applyNumberFormat="1" applyFill="1"/>
    <xf numFmtId="164" fontId="16" fillId="0" borderId="0" xfId="0" applyNumberFormat="1" applyFont="1"/>
    <xf numFmtId="44" fontId="0" fillId="0" borderId="0" xfId="42" applyFont="1"/>
    <xf numFmtId="44" fontId="0" fillId="0" borderId="0" xfId="0" applyNumberFormat="1"/>
    <xf numFmtId="9" fontId="0" fillId="0" borderId="0" xfId="43" applyFont="1" applyAlignment="1">
      <alignment horizontal="left"/>
    </xf>
    <xf numFmtId="165" fontId="0" fillId="0" borderId="0" xfId="43" applyNumberFormat="1" applyFont="1" applyAlignment="1">
      <alignment horizontal="left"/>
    </xf>
    <xf numFmtId="10" fontId="0" fillId="0" borderId="0" xfId="43" applyNumberFormat="1" applyFont="1"/>
    <xf numFmtId="164" fontId="0" fillId="0" borderId="0" xfId="0" applyNumberFormat="1"/>
    <xf numFmtId="17" fontId="0" fillId="34" borderId="0" xfId="0" applyNumberFormat="1" applyFill="1"/>
    <xf numFmtId="0" fontId="0" fillId="34" borderId="0" xfId="0" quotePrefix="1" applyFill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588B-7822-4627-ABA7-DC530DC305BA}">
  <dimension ref="A1:M369"/>
  <sheetViews>
    <sheetView zoomScale="90" zoomScaleNormal="90" workbookViewId="0">
      <pane xSplit="5" ySplit="1" topLeftCell="F365" activePane="bottomRight" state="frozen"/>
      <selection pane="topRight" activeCell="F1" sqref="F1"/>
      <selection pane="bottomLeft" activeCell="A2" sqref="A2"/>
      <selection pane="bottomRight" activeCell="D1" sqref="D1"/>
    </sheetView>
  </sheetViews>
  <sheetFormatPr baseColWidth="10" defaultRowHeight="14.4" x14ac:dyDescent="0.3"/>
  <cols>
    <col min="1" max="1" width="22" bestFit="1" customWidth="1"/>
    <col min="2" max="2" width="12.88671875" customWidth="1"/>
    <col min="3" max="3" width="8.88671875" customWidth="1"/>
    <col min="5" max="5" width="13.109375" bestFit="1" customWidth="1"/>
    <col min="6" max="6" width="43.109375" bestFit="1" customWidth="1"/>
    <col min="8" max="8" width="12.77734375" customWidth="1"/>
    <col min="12" max="12" width="12.33203125" customWidth="1"/>
  </cols>
  <sheetData>
    <row r="1" spans="1:13" ht="40.200000000000003" x14ac:dyDescent="0.3">
      <c r="A1" t="s">
        <v>0</v>
      </c>
      <c r="B1" t="s">
        <v>1</v>
      </c>
      <c r="C1" t="s">
        <v>2</v>
      </c>
      <c r="D1" t="s">
        <v>3</v>
      </c>
      <c r="E1" t="s">
        <v>666</v>
      </c>
      <c r="F1" t="s">
        <v>4</v>
      </c>
      <c r="G1" t="s">
        <v>5</v>
      </c>
      <c r="H1" s="1" t="s">
        <v>672</v>
      </c>
      <c r="I1" s="1" t="s">
        <v>667</v>
      </c>
      <c r="J1" s="1" t="s">
        <v>668</v>
      </c>
      <c r="K1" s="2" t="s">
        <v>669</v>
      </c>
      <c r="L1" s="1" t="s">
        <v>670</v>
      </c>
      <c r="M1" s="1" t="s">
        <v>671</v>
      </c>
    </row>
    <row r="2" spans="1:13" x14ac:dyDescent="0.3">
      <c r="A2" s="5" t="s">
        <v>6</v>
      </c>
      <c r="B2" s="5" t="s">
        <v>7</v>
      </c>
      <c r="C2" s="5">
        <v>1</v>
      </c>
      <c r="D2" s="6">
        <v>1046.37465</v>
      </c>
      <c r="E2" s="7">
        <f>+C2*D2</f>
        <v>1046.37465</v>
      </c>
      <c r="F2" s="5" t="s">
        <v>8</v>
      </c>
      <c r="G2" s="5" t="s">
        <v>9</v>
      </c>
      <c r="H2" s="6">
        <v>8</v>
      </c>
      <c r="I2" s="8">
        <f>+H2/4</f>
        <v>2</v>
      </c>
      <c r="J2" s="6">
        <f>+C2/I2</f>
        <v>0.5</v>
      </c>
      <c r="K2" s="5"/>
      <c r="L2" s="5"/>
      <c r="M2" s="5" t="s">
        <v>673</v>
      </c>
    </row>
    <row r="3" spans="1:13" x14ac:dyDescent="0.3">
      <c r="A3" s="5" t="s">
        <v>10</v>
      </c>
      <c r="B3" s="5" t="s">
        <v>7</v>
      </c>
      <c r="C3" s="5">
        <v>6</v>
      </c>
      <c r="D3" s="6">
        <v>1071.2618</v>
      </c>
      <c r="E3" s="7">
        <f t="shared" ref="E3:E77" si="0">+C3*D3</f>
        <v>6427.5707999999995</v>
      </c>
      <c r="F3" s="5" t="s">
        <v>11</v>
      </c>
      <c r="G3" s="5" t="s">
        <v>9</v>
      </c>
      <c r="H3" s="6">
        <v>0</v>
      </c>
      <c r="I3" s="8">
        <f>+H3/4</f>
        <v>0</v>
      </c>
      <c r="J3" s="6" t="e">
        <f t="shared" ref="J3:J77" si="1">+C3/I3</f>
        <v>#DIV/0!</v>
      </c>
      <c r="K3" s="5"/>
      <c r="L3" s="5"/>
      <c r="M3" s="5" t="s">
        <v>673</v>
      </c>
    </row>
    <row r="4" spans="1:13" x14ac:dyDescent="0.3">
      <c r="A4" s="5" t="s">
        <v>12</v>
      </c>
      <c r="B4" s="5" t="s">
        <v>7</v>
      </c>
      <c r="C4" s="5">
        <v>6</v>
      </c>
      <c r="D4" s="6">
        <v>1291.9461240000001</v>
      </c>
      <c r="E4" s="7">
        <f t="shared" si="0"/>
        <v>7751.6767440000003</v>
      </c>
      <c r="F4" s="5" t="s">
        <v>13</v>
      </c>
      <c r="G4" s="5" t="s">
        <v>9</v>
      </c>
      <c r="H4" s="6">
        <v>3</v>
      </c>
      <c r="I4" s="8">
        <f>+H4/4</f>
        <v>0.75</v>
      </c>
      <c r="J4" s="6">
        <f t="shared" si="1"/>
        <v>8</v>
      </c>
      <c r="K4" s="5"/>
      <c r="L4" s="5"/>
      <c r="M4" s="5" t="s">
        <v>673</v>
      </c>
    </row>
    <row r="5" spans="1:13" x14ac:dyDescent="0.3">
      <c r="A5" s="5" t="s">
        <v>14</v>
      </c>
      <c r="B5" s="5" t="s">
        <v>7</v>
      </c>
      <c r="C5" s="5">
        <v>3</v>
      </c>
      <c r="D5" s="6">
        <v>1835.618596</v>
      </c>
      <c r="E5" s="7">
        <f t="shared" si="0"/>
        <v>5506.8557879999998</v>
      </c>
      <c r="F5" s="5" t="s">
        <v>15</v>
      </c>
      <c r="G5" s="5" t="s">
        <v>9</v>
      </c>
      <c r="H5" s="6">
        <v>0</v>
      </c>
      <c r="I5" s="8">
        <f>+H5/4</f>
        <v>0</v>
      </c>
      <c r="J5" s="6" t="e">
        <f t="shared" si="1"/>
        <v>#DIV/0!</v>
      </c>
      <c r="K5" s="5"/>
      <c r="L5" s="5"/>
      <c r="M5" s="5" t="s">
        <v>673</v>
      </c>
    </row>
    <row r="6" spans="1:13" x14ac:dyDescent="0.3">
      <c r="A6" s="5" t="s">
        <v>16</v>
      </c>
      <c r="B6" s="5" t="s">
        <v>7</v>
      </c>
      <c r="C6" s="5">
        <v>4</v>
      </c>
      <c r="D6" s="6">
        <v>2355.4022222200001</v>
      </c>
      <c r="E6" s="7">
        <f t="shared" si="0"/>
        <v>9421.6088888800004</v>
      </c>
      <c r="F6" s="5" t="s">
        <v>17</v>
      </c>
      <c r="G6" s="5" t="s">
        <v>9</v>
      </c>
      <c r="H6" s="6">
        <v>8</v>
      </c>
      <c r="I6" s="8">
        <f t="shared" ref="I6:I77" si="2">+H6/12</f>
        <v>0.66666666666666663</v>
      </c>
      <c r="J6" s="6">
        <f t="shared" si="1"/>
        <v>6</v>
      </c>
      <c r="K6" s="5"/>
      <c r="L6" s="5"/>
      <c r="M6" s="5"/>
    </row>
    <row r="7" spans="1:13" x14ac:dyDescent="0.3">
      <c r="A7" s="9" t="s">
        <v>16</v>
      </c>
      <c r="B7" s="9" t="s">
        <v>7</v>
      </c>
      <c r="C7" s="9">
        <f>5+5-4</f>
        <v>6</v>
      </c>
      <c r="D7" s="10">
        <v>2355.4022222200001</v>
      </c>
      <c r="E7" s="11">
        <f t="shared" ref="E7" si="3">+C7*D7</f>
        <v>14132.413333320001</v>
      </c>
      <c r="F7" s="9" t="s">
        <v>17</v>
      </c>
      <c r="G7" s="9" t="s">
        <v>9</v>
      </c>
      <c r="H7" s="10">
        <v>8</v>
      </c>
      <c r="I7" s="12">
        <f t="shared" ref="I7" si="4">+H7/12</f>
        <v>0.66666666666666663</v>
      </c>
      <c r="J7" s="10">
        <f t="shared" ref="J7" si="5">+C7/I7</f>
        <v>9</v>
      </c>
      <c r="K7" s="9"/>
      <c r="L7" s="9"/>
      <c r="M7" s="9"/>
    </row>
    <row r="8" spans="1:13" x14ac:dyDescent="0.3">
      <c r="A8" s="9" t="s">
        <v>18</v>
      </c>
      <c r="B8" s="9" t="s">
        <v>7</v>
      </c>
      <c r="C8" s="9">
        <v>115</v>
      </c>
      <c r="D8" s="10">
        <v>617.62421789999996</v>
      </c>
      <c r="E8" s="11">
        <f t="shared" si="0"/>
        <v>71026.785058499998</v>
      </c>
      <c r="F8" s="9" t="s">
        <v>19</v>
      </c>
      <c r="G8" s="9" t="s">
        <v>9</v>
      </c>
      <c r="H8" s="10">
        <v>99</v>
      </c>
      <c r="I8" s="12">
        <f t="shared" si="2"/>
        <v>8.25</v>
      </c>
      <c r="J8" s="10">
        <f t="shared" si="1"/>
        <v>13.939393939393939</v>
      </c>
      <c r="K8" s="9"/>
      <c r="L8" s="9"/>
      <c r="M8" s="9"/>
    </row>
    <row r="9" spans="1:13" x14ac:dyDescent="0.3">
      <c r="A9" s="5" t="s">
        <v>20</v>
      </c>
      <c r="B9" s="5" t="s">
        <v>7</v>
      </c>
      <c r="C9" s="5">
        <f>25*5</f>
        <v>125</v>
      </c>
      <c r="D9" s="6">
        <v>712.69832191</v>
      </c>
      <c r="E9" s="7">
        <f t="shared" si="0"/>
        <v>89087.290238750007</v>
      </c>
      <c r="F9" s="5" t="s">
        <v>21</v>
      </c>
      <c r="G9" s="5" t="s">
        <v>9</v>
      </c>
      <c r="H9" s="6">
        <v>268</v>
      </c>
      <c r="I9" s="8">
        <f t="shared" si="2"/>
        <v>22.333333333333332</v>
      </c>
      <c r="J9" s="6">
        <f t="shared" si="1"/>
        <v>5.5970149253731343</v>
      </c>
      <c r="K9" s="5"/>
      <c r="L9" s="5"/>
      <c r="M9" s="5"/>
    </row>
    <row r="10" spans="1:13" x14ac:dyDescent="0.3">
      <c r="A10" s="9" t="s">
        <v>20</v>
      </c>
      <c r="B10" s="9" t="s">
        <v>7</v>
      </c>
      <c r="C10" s="9">
        <f>227+50-125</f>
        <v>152</v>
      </c>
      <c r="D10" s="10">
        <v>712.69832191</v>
      </c>
      <c r="E10" s="11">
        <f t="shared" ref="E10" si="6">+C10*D10</f>
        <v>108330.14493032001</v>
      </c>
      <c r="F10" s="9" t="s">
        <v>21</v>
      </c>
      <c r="G10" s="9" t="s">
        <v>9</v>
      </c>
      <c r="H10" s="10">
        <v>268</v>
      </c>
      <c r="I10" s="12">
        <f t="shared" ref="I10" si="7">+H10/12</f>
        <v>22.333333333333332</v>
      </c>
      <c r="J10" s="10">
        <f t="shared" ref="J10" si="8">+C10/I10</f>
        <v>6.8059701492537314</v>
      </c>
      <c r="K10" s="9"/>
      <c r="L10" s="9"/>
      <c r="M10" s="9"/>
    </row>
    <row r="11" spans="1:13" x14ac:dyDescent="0.3">
      <c r="A11" s="5" t="s">
        <v>22</v>
      </c>
      <c r="B11" s="5" t="s">
        <v>7</v>
      </c>
      <c r="C11" s="5">
        <v>1</v>
      </c>
      <c r="D11" s="6">
        <v>2394.5300000000002</v>
      </c>
      <c r="E11" s="7">
        <f t="shared" si="0"/>
        <v>2394.5300000000002</v>
      </c>
      <c r="F11" s="5" t="s">
        <v>23</v>
      </c>
      <c r="G11" s="5" t="s">
        <v>9</v>
      </c>
      <c r="H11" s="6">
        <v>0</v>
      </c>
      <c r="I11" s="8">
        <f t="shared" si="2"/>
        <v>0</v>
      </c>
      <c r="J11" s="6" t="e">
        <f t="shared" si="1"/>
        <v>#DIV/0!</v>
      </c>
      <c r="K11" s="5"/>
      <c r="L11" s="5"/>
      <c r="M11" s="5" t="s">
        <v>674</v>
      </c>
    </row>
    <row r="12" spans="1:13" x14ac:dyDescent="0.3">
      <c r="A12" s="5" t="s">
        <v>24</v>
      </c>
      <c r="B12" s="5" t="s">
        <v>7</v>
      </c>
      <c r="C12" s="5">
        <v>3</v>
      </c>
      <c r="D12" s="6">
        <v>7180.4240400600002</v>
      </c>
      <c r="E12" s="7">
        <f t="shared" si="0"/>
        <v>21541.272120180001</v>
      </c>
      <c r="F12" s="5" t="s">
        <v>25</v>
      </c>
      <c r="G12" s="5" t="s">
        <v>9</v>
      </c>
      <c r="H12" s="6">
        <v>16</v>
      </c>
      <c r="I12" s="8">
        <f t="shared" si="2"/>
        <v>1.3333333333333333</v>
      </c>
      <c r="J12" s="6">
        <f t="shared" si="1"/>
        <v>2.25</v>
      </c>
      <c r="K12" s="5"/>
      <c r="L12" s="5"/>
      <c r="M12" s="5"/>
    </row>
    <row r="13" spans="1:13" x14ac:dyDescent="0.3">
      <c r="A13" s="5" t="s">
        <v>26</v>
      </c>
      <c r="B13" s="5" t="s">
        <v>7</v>
      </c>
      <c r="C13" s="5">
        <v>14</v>
      </c>
      <c r="D13" s="6">
        <v>4664.9791290200001</v>
      </c>
      <c r="E13" s="7">
        <f t="shared" si="0"/>
        <v>65309.707806279999</v>
      </c>
      <c r="F13" s="5" t="s">
        <v>27</v>
      </c>
      <c r="G13" s="5" t="s">
        <v>9</v>
      </c>
      <c r="H13" s="6">
        <v>21</v>
      </c>
      <c r="I13" s="8">
        <f>+H13/8</f>
        <v>2.625</v>
      </c>
      <c r="J13" s="6">
        <f t="shared" si="1"/>
        <v>5.333333333333333</v>
      </c>
      <c r="K13" s="5"/>
      <c r="L13" s="5"/>
      <c r="M13" s="5"/>
    </row>
    <row r="14" spans="1:13" x14ac:dyDescent="0.3">
      <c r="A14" s="9" t="s">
        <v>26</v>
      </c>
      <c r="B14" s="9" t="s">
        <v>7</v>
      </c>
      <c r="C14" s="9">
        <f>18+15-14</f>
        <v>19</v>
      </c>
      <c r="D14" s="10">
        <v>4664.9791290200001</v>
      </c>
      <c r="E14" s="11">
        <f t="shared" ref="E14" si="9">+C14*D14</f>
        <v>88634.603451379997</v>
      </c>
      <c r="F14" s="9" t="s">
        <v>27</v>
      </c>
      <c r="G14" s="9" t="s">
        <v>9</v>
      </c>
      <c r="H14" s="10">
        <v>21</v>
      </c>
      <c r="I14" s="12">
        <f>+H14/8</f>
        <v>2.625</v>
      </c>
      <c r="J14" s="10">
        <f t="shared" ref="J14" si="10">+C14/I14</f>
        <v>7.2380952380952381</v>
      </c>
      <c r="K14" s="9"/>
      <c r="L14" s="9"/>
      <c r="M14" s="9"/>
    </row>
    <row r="15" spans="1:13" x14ac:dyDescent="0.3">
      <c r="A15" s="5" t="s">
        <v>28</v>
      </c>
      <c r="B15" s="5" t="s">
        <v>7</v>
      </c>
      <c r="C15" s="5">
        <v>2</v>
      </c>
      <c r="D15" s="6">
        <v>15123.543799999999</v>
      </c>
      <c r="E15" s="7">
        <f t="shared" si="0"/>
        <v>30247.087599999999</v>
      </c>
      <c r="F15" s="5" t="s">
        <v>29</v>
      </c>
      <c r="G15" s="5" t="s">
        <v>9</v>
      </c>
      <c r="H15" s="6">
        <v>7</v>
      </c>
      <c r="I15" s="8">
        <f>+H15/0.1</f>
        <v>70</v>
      </c>
      <c r="J15" s="6">
        <f t="shared" si="1"/>
        <v>2.8571428571428571E-2</v>
      </c>
      <c r="K15" s="5"/>
      <c r="L15" s="5"/>
      <c r="M15" s="5"/>
    </row>
    <row r="16" spans="1:13" x14ac:dyDescent="0.3">
      <c r="A16" s="5" t="s">
        <v>30</v>
      </c>
      <c r="B16" s="5" t="s">
        <v>7</v>
      </c>
      <c r="C16" s="5">
        <v>1</v>
      </c>
      <c r="D16" s="6">
        <v>521.37649999999996</v>
      </c>
      <c r="E16" s="7">
        <f t="shared" si="0"/>
        <v>521.37649999999996</v>
      </c>
      <c r="F16" s="5" t="s">
        <v>31</v>
      </c>
      <c r="G16" s="5" t="s">
        <v>9</v>
      </c>
      <c r="H16" s="6">
        <v>0</v>
      </c>
      <c r="I16" s="8">
        <f t="shared" si="2"/>
        <v>0</v>
      </c>
      <c r="J16" s="6" t="e">
        <f t="shared" si="1"/>
        <v>#DIV/0!</v>
      </c>
      <c r="K16" s="5"/>
      <c r="L16" s="5"/>
      <c r="M16" s="5" t="s">
        <v>673</v>
      </c>
    </row>
    <row r="17" spans="1:13" x14ac:dyDescent="0.3">
      <c r="A17" s="5" t="s">
        <v>32</v>
      </c>
      <c r="B17" s="5" t="s">
        <v>7</v>
      </c>
      <c r="C17" s="5">
        <v>1</v>
      </c>
      <c r="D17" s="6">
        <v>84366</v>
      </c>
      <c r="E17" s="7">
        <f t="shared" si="0"/>
        <v>84366</v>
      </c>
      <c r="F17" s="5" t="s">
        <v>33</v>
      </c>
      <c r="G17" s="5" t="s">
        <v>9</v>
      </c>
      <c r="H17" s="6">
        <v>0</v>
      </c>
      <c r="I17" s="8">
        <f t="shared" si="2"/>
        <v>0</v>
      </c>
      <c r="J17" s="6" t="e">
        <f t="shared" si="1"/>
        <v>#DIV/0!</v>
      </c>
      <c r="K17" s="5"/>
      <c r="L17" s="5"/>
      <c r="M17" s="5" t="s">
        <v>675</v>
      </c>
    </row>
    <row r="18" spans="1:13" x14ac:dyDescent="0.3">
      <c r="A18" s="5" t="s">
        <v>34</v>
      </c>
      <c r="B18" s="5" t="s">
        <v>7</v>
      </c>
      <c r="C18" s="5">
        <v>5</v>
      </c>
      <c r="D18" s="6">
        <v>411.59870000000001</v>
      </c>
      <c r="E18" s="7">
        <f t="shared" si="0"/>
        <v>2057.9935</v>
      </c>
      <c r="F18" s="5" t="s">
        <v>35</v>
      </c>
      <c r="G18" s="5" t="s">
        <v>9</v>
      </c>
      <c r="H18" s="6">
        <v>0</v>
      </c>
      <c r="I18" s="8">
        <f t="shared" si="2"/>
        <v>0</v>
      </c>
      <c r="J18" s="6" t="e">
        <f t="shared" si="1"/>
        <v>#DIV/0!</v>
      </c>
      <c r="K18" s="5"/>
      <c r="L18" s="5"/>
      <c r="M18" s="5" t="s">
        <v>673</v>
      </c>
    </row>
    <row r="19" spans="1:13" x14ac:dyDescent="0.3">
      <c r="A19" s="5" t="s">
        <v>36</v>
      </c>
      <c r="B19" s="5" t="s">
        <v>7</v>
      </c>
      <c r="C19" s="5">
        <v>5</v>
      </c>
      <c r="D19" s="6">
        <v>506.31209999999999</v>
      </c>
      <c r="E19" s="7">
        <f t="shared" si="0"/>
        <v>2531.5605</v>
      </c>
      <c r="F19" s="5" t="s">
        <v>37</v>
      </c>
      <c r="G19" s="5" t="s">
        <v>9</v>
      </c>
      <c r="H19" s="6">
        <v>0</v>
      </c>
      <c r="I19" s="8">
        <f>+H19/1</f>
        <v>0</v>
      </c>
      <c r="J19" s="6" t="e">
        <f t="shared" si="1"/>
        <v>#DIV/0!</v>
      </c>
      <c r="K19" s="5"/>
      <c r="L19" s="5"/>
      <c r="M19" s="5" t="s">
        <v>673</v>
      </c>
    </row>
    <row r="20" spans="1:13" x14ac:dyDescent="0.3">
      <c r="A20" s="5" t="s">
        <v>38</v>
      </c>
      <c r="B20" s="5" t="s">
        <v>7</v>
      </c>
      <c r="C20" s="5">
        <v>7</v>
      </c>
      <c r="D20" s="6">
        <v>1904.82839199</v>
      </c>
      <c r="E20" s="7">
        <f t="shared" si="0"/>
        <v>13333.79874393</v>
      </c>
      <c r="F20" s="5" t="s">
        <v>39</v>
      </c>
      <c r="G20" s="5" t="s">
        <v>9</v>
      </c>
      <c r="H20" s="6">
        <v>15</v>
      </c>
      <c r="I20" s="8">
        <f t="shared" si="2"/>
        <v>1.25</v>
      </c>
      <c r="J20" s="6">
        <f t="shared" si="1"/>
        <v>5.6</v>
      </c>
      <c r="K20" s="5"/>
      <c r="L20" s="5"/>
      <c r="M20" s="5"/>
    </row>
    <row r="21" spans="1:13" x14ac:dyDescent="0.3">
      <c r="A21" s="9" t="s">
        <v>38</v>
      </c>
      <c r="B21" s="9" t="s">
        <v>7</v>
      </c>
      <c r="C21" s="9">
        <f>30-7</f>
        <v>23</v>
      </c>
      <c r="D21" s="10">
        <v>1904.82839199</v>
      </c>
      <c r="E21" s="11">
        <f t="shared" ref="E21" si="11">+C21*D21</f>
        <v>43811.053015769998</v>
      </c>
      <c r="F21" s="9" t="s">
        <v>39</v>
      </c>
      <c r="G21" s="9" t="s">
        <v>9</v>
      </c>
      <c r="H21" s="10">
        <v>15</v>
      </c>
      <c r="I21" s="12">
        <f t="shared" si="2"/>
        <v>1.25</v>
      </c>
      <c r="J21" s="10">
        <f t="shared" ref="J21" si="12">+C21/I21</f>
        <v>18.399999999999999</v>
      </c>
      <c r="K21" s="9"/>
      <c r="L21" s="9"/>
      <c r="M21" s="9"/>
    </row>
    <row r="22" spans="1:13" x14ac:dyDescent="0.3">
      <c r="A22" s="13" t="s">
        <v>40</v>
      </c>
      <c r="B22" s="13" t="s">
        <v>7</v>
      </c>
      <c r="C22" s="13">
        <v>1</v>
      </c>
      <c r="D22" s="14">
        <v>639.66240000000005</v>
      </c>
      <c r="E22" s="15">
        <f t="shared" si="0"/>
        <v>639.66240000000005</v>
      </c>
      <c r="F22" s="13" t="s">
        <v>41</v>
      </c>
      <c r="G22" s="13" t="s">
        <v>9</v>
      </c>
      <c r="H22" s="14">
        <v>0</v>
      </c>
      <c r="I22" s="16">
        <f t="shared" si="2"/>
        <v>0</v>
      </c>
      <c r="J22" s="14" t="e">
        <f t="shared" si="1"/>
        <v>#DIV/0!</v>
      </c>
      <c r="K22" s="13"/>
      <c r="L22" s="13"/>
      <c r="M22" s="13"/>
    </row>
    <row r="23" spans="1:13" x14ac:dyDescent="0.3">
      <c r="A23" s="9" t="s">
        <v>42</v>
      </c>
      <c r="B23" s="9" t="s">
        <v>7</v>
      </c>
      <c r="C23" s="9">
        <v>1</v>
      </c>
      <c r="D23" s="10">
        <v>753.50930000000005</v>
      </c>
      <c r="E23" s="11">
        <f t="shared" si="0"/>
        <v>753.50930000000005</v>
      </c>
      <c r="F23" s="9" t="s">
        <v>43</v>
      </c>
      <c r="G23" s="9" t="s">
        <v>9</v>
      </c>
      <c r="H23" s="10">
        <v>1</v>
      </c>
      <c r="I23" s="12">
        <f t="shared" si="2"/>
        <v>8.3333333333333329E-2</v>
      </c>
      <c r="J23" s="10">
        <f t="shared" si="1"/>
        <v>12</v>
      </c>
      <c r="K23" s="9"/>
      <c r="L23" s="9"/>
      <c r="M23" s="9"/>
    </row>
    <row r="24" spans="1:13" x14ac:dyDescent="0.3">
      <c r="A24" s="5" t="s">
        <v>44</v>
      </c>
      <c r="B24" s="5" t="s">
        <v>7</v>
      </c>
      <c r="C24" s="5">
        <v>30</v>
      </c>
      <c r="D24" s="6">
        <v>89.065065369999999</v>
      </c>
      <c r="E24" s="7">
        <f t="shared" si="0"/>
        <v>2671.9519611000001</v>
      </c>
      <c r="F24" s="5" t="s">
        <v>45</v>
      </c>
      <c r="G24" s="5" t="s">
        <v>9</v>
      </c>
      <c r="H24" s="6">
        <v>68</v>
      </c>
      <c r="I24" s="8">
        <f t="shared" si="2"/>
        <v>5.666666666666667</v>
      </c>
      <c r="J24" s="6">
        <f t="shared" si="1"/>
        <v>5.2941176470588234</v>
      </c>
      <c r="K24" s="5"/>
      <c r="L24" s="5"/>
      <c r="M24" s="5"/>
    </row>
    <row r="25" spans="1:13" x14ac:dyDescent="0.3">
      <c r="A25" s="9" t="s">
        <v>44</v>
      </c>
      <c r="B25" s="9" t="s">
        <v>7</v>
      </c>
      <c r="C25" s="9">
        <f>41-30</f>
        <v>11</v>
      </c>
      <c r="D25" s="10">
        <v>89.065065369999999</v>
      </c>
      <c r="E25" s="11">
        <f t="shared" ref="E25" si="13">+C25*D25</f>
        <v>979.71571906999998</v>
      </c>
      <c r="F25" s="9" t="s">
        <v>45</v>
      </c>
      <c r="G25" s="9" t="s">
        <v>9</v>
      </c>
      <c r="H25" s="10">
        <v>68</v>
      </c>
      <c r="I25" s="12">
        <f t="shared" si="2"/>
        <v>5.666666666666667</v>
      </c>
      <c r="J25" s="10">
        <f t="shared" ref="J25" si="14">+C25/I25</f>
        <v>1.9411764705882353</v>
      </c>
      <c r="K25" s="9"/>
      <c r="L25" s="9"/>
      <c r="M25" s="9"/>
    </row>
    <row r="26" spans="1:13" x14ac:dyDescent="0.3">
      <c r="A26" s="5" t="s">
        <v>46</v>
      </c>
      <c r="B26" s="5" t="s">
        <v>7</v>
      </c>
      <c r="C26" s="5">
        <v>170</v>
      </c>
      <c r="D26" s="6">
        <v>112.22128312</v>
      </c>
      <c r="E26" s="7">
        <f t="shared" si="0"/>
        <v>19077.618130399998</v>
      </c>
      <c r="F26" s="5" t="s">
        <v>47</v>
      </c>
      <c r="G26" s="5" t="s">
        <v>9</v>
      </c>
      <c r="H26" s="6">
        <v>518</v>
      </c>
      <c r="I26" s="8">
        <f t="shared" si="2"/>
        <v>43.166666666666664</v>
      </c>
      <c r="J26" s="6">
        <f t="shared" si="1"/>
        <v>3.9382239382239383</v>
      </c>
      <c r="K26" s="5"/>
      <c r="L26" s="5"/>
      <c r="M26" s="5"/>
    </row>
    <row r="27" spans="1:13" x14ac:dyDescent="0.3">
      <c r="A27" s="13" t="s">
        <v>48</v>
      </c>
      <c r="B27" s="13" t="s">
        <v>7</v>
      </c>
      <c r="C27" s="13">
        <v>6</v>
      </c>
      <c r="D27" s="14">
        <v>512.66669999999999</v>
      </c>
      <c r="E27" s="15">
        <f t="shared" si="0"/>
        <v>3076.0001999999999</v>
      </c>
      <c r="F27" s="13" t="s">
        <v>49</v>
      </c>
      <c r="G27" s="13" t="s">
        <v>9</v>
      </c>
      <c r="H27" s="14">
        <v>0</v>
      </c>
      <c r="I27" s="16">
        <f t="shared" si="2"/>
        <v>0</v>
      </c>
      <c r="J27" s="14" t="e">
        <f t="shared" si="1"/>
        <v>#DIV/0!</v>
      </c>
      <c r="K27" s="13"/>
      <c r="L27" s="13"/>
      <c r="M27" s="13"/>
    </row>
    <row r="28" spans="1:13" x14ac:dyDescent="0.3">
      <c r="A28" s="13" t="s">
        <v>50</v>
      </c>
      <c r="B28" s="13" t="s">
        <v>7</v>
      </c>
      <c r="C28" s="13">
        <v>1</v>
      </c>
      <c r="D28" s="14">
        <v>569.17219999999998</v>
      </c>
      <c r="E28" s="15">
        <f t="shared" si="0"/>
        <v>569.17219999999998</v>
      </c>
      <c r="F28" s="13" t="s">
        <v>51</v>
      </c>
      <c r="G28" s="13" t="s">
        <v>9</v>
      </c>
      <c r="H28" s="14">
        <v>0</v>
      </c>
      <c r="I28" s="16">
        <f t="shared" si="2"/>
        <v>0</v>
      </c>
      <c r="J28" s="14" t="e">
        <f t="shared" si="1"/>
        <v>#DIV/0!</v>
      </c>
      <c r="K28" s="13"/>
      <c r="L28" s="13"/>
      <c r="M28" s="13"/>
    </row>
    <row r="29" spans="1:13" x14ac:dyDescent="0.3">
      <c r="A29" s="5" t="s">
        <v>52</v>
      </c>
      <c r="B29" s="5" t="s">
        <v>7</v>
      </c>
      <c r="C29" s="5">
        <v>2</v>
      </c>
      <c r="D29" s="6">
        <v>137.37570869999999</v>
      </c>
      <c r="E29" s="7">
        <f t="shared" si="0"/>
        <v>274.75141739999998</v>
      </c>
      <c r="F29" s="5" t="s">
        <v>53</v>
      </c>
      <c r="G29" s="5" t="s">
        <v>9</v>
      </c>
      <c r="H29" s="6">
        <v>13</v>
      </c>
      <c r="I29" s="8">
        <f t="shared" si="2"/>
        <v>1.0833333333333333</v>
      </c>
      <c r="J29" s="6">
        <f t="shared" si="1"/>
        <v>1.8461538461538463</v>
      </c>
      <c r="K29" s="5"/>
      <c r="L29" s="5"/>
      <c r="M29" s="5"/>
    </row>
    <row r="30" spans="1:13" x14ac:dyDescent="0.3">
      <c r="A30" s="13" t="s">
        <v>54</v>
      </c>
      <c r="B30" s="13" t="s">
        <v>7</v>
      </c>
      <c r="C30" s="13">
        <v>1</v>
      </c>
      <c r="D30" s="14">
        <v>126.54507900999999</v>
      </c>
      <c r="E30" s="15">
        <f t="shared" si="0"/>
        <v>126.54507900999999</v>
      </c>
      <c r="F30" s="13" t="s">
        <v>55</v>
      </c>
      <c r="G30" s="13" t="s">
        <v>9</v>
      </c>
      <c r="H30" s="14">
        <v>0</v>
      </c>
      <c r="I30" s="16">
        <f t="shared" si="2"/>
        <v>0</v>
      </c>
      <c r="J30" s="14" t="e">
        <f t="shared" si="1"/>
        <v>#DIV/0!</v>
      </c>
      <c r="K30" s="13"/>
      <c r="L30" s="13"/>
      <c r="M30" s="13"/>
    </row>
    <row r="31" spans="1:13" x14ac:dyDescent="0.3">
      <c r="A31" s="5" t="s">
        <v>56</v>
      </c>
      <c r="B31" s="5" t="s">
        <v>7</v>
      </c>
      <c r="C31" s="5">
        <v>9</v>
      </c>
      <c r="D31" s="6">
        <v>135.32158654</v>
      </c>
      <c r="E31" s="7">
        <f t="shared" si="0"/>
        <v>1217.89427886</v>
      </c>
      <c r="F31" s="5" t="s">
        <v>57</v>
      </c>
      <c r="G31" s="5" t="s">
        <v>9</v>
      </c>
      <c r="H31" s="6">
        <v>21</v>
      </c>
      <c r="I31" s="8">
        <f t="shared" si="2"/>
        <v>1.75</v>
      </c>
      <c r="J31" s="6">
        <f t="shared" si="1"/>
        <v>5.1428571428571432</v>
      </c>
      <c r="K31" s="5"/>
      <c r="L31" s="5"/>
      <c r="M31" s="5"/>
    </row>
    <row r="32" spans="1:13" x14ac:dyDescent="0.3">
      <c r="A32" s="9" t="s">
        <v>56</v>
      </c>
      <c r="B32" s="9" t="s">
        <v>7</v>
      </c>
      <c r="C32" s="9">
        <f>14-9</f>
        <v>5</v>
      </c>
      <c r="D32" s="10">
        <v>135.32158654</v>
      </c>
      <c r="E32" s="11">
        <f t="shared" ref="E32" si="15">+C32*D32</f>
        <v>676.60793269999999</v>
      </c>
      <c r="F32" s="9" t="s">
        <v>57</v>
      </c>
      <c r="G32" s="9" t="s">
        <v>9</v>
      </c>
      <c r="H32" s="10">
        <v>21</v>
      </c>
      <c r="I32" s="12">
        <f t="shared" si="2"/>
        <v>1.75</v>
      </c>
      <c r="J32" s="10">
        <f t="shared" ref="J32" si="16">+C32/I32</f>
        <v>2.8571428571428572</v>
      </c>
      <c r="K32" s="9"/>
      <c r="L32" s="9"/>
      <c r="M32" s="9"/>
    </row>
    <row r="33" spans="1:13" x14ac:dyDescent="0.3">
      <c r="A33" s="9" t="s">
        <v>58</v>
      </c>
      <c r="B33" s="9" t="s">
        <v>7</v>
      </c>
      <c r="C33" s="9">
        <v>27</v>
      </c>
      <c r="D33" s="10">
        <v>141.60169999999999</v>
      </c>
      <c r="E33" s="11">
        <f t="shared" si="0"/>
        <v>3823.2458999999999</v>
      </c>
      <c r="F33" s="9" t="s">
        <v>59</v>
      </c>
      <c r="G33" s="9" t="s">
        <v>9</v>
      </c>
      <c r="H33" s="10">
        <v>3</v>
      </c>
      <c r="I33" s="12">
        <f t="shared" si="2"/>
        <v>0.25</v>
      </c>
      <c r="J33" s="10">
        <f t="shared" si="1"/>
        <v>108</v>
      </c>
      <c r="K33" s="9"/>
      <c r="L33" s="9"/>
      <c r="M33" s="9"/>
    </row>
    <row r="34" spans="1:13" x14ac:dyDescent="0.3">
      <c r="A34" s="5" t="s">
        <v>60</v>
      </c>
      <c r="B34" s="5" t="s">
        <v>7</v>
      </c>
      <c r="C34" s="5">
        <v>1</v>
      </c>
      <c r="D34" s="6">
        <v>182.18690000000001</v>
      </c>
      <c r="E34" s="7">
        <f t="shared" si="0"/>
        <v>182.18690000000001</v>
      </c>
      <c r="F34" s="5" t="s">
        <v>61</v>
      </c>
      <c r="G34" s="5" t="s">
        <v>9</v>
      </c>
      <c r="H34" s="6">
        <v>4</v>
      </c>
      <c r="I34" s="8">
        <f t="shared" si="2"/>
        <v>0.33333333333333331</v>
      </c>
      <c r="J34" s="6">
        <f t="shared" si="1"/>
        <v>3</v>
      </c>
      <c r="K34" s="5"/>
      <c r="L34" s="5"/>
      <c r="M34" s="5"/>
    </row>
    <row r="35" spans="1:13" x14ac:dyDescent="0.3">
      <c r="A35" s="5" t="s">
        <v>62</v>
      </c>
      <c r="B35" s="5" t="s">
        <v>7</v>
      </c>
      <c r="C35" s="5">
        <v>13</v>
      </c>
      <c r="D35" s="6">
        <v>356.67848190000001</v>
      </c>
      <c r="E35" s="7">
        <f t="shared" si="0"/>
        <v>4636.8202646999998</v>
      </c>
      <c r="F35" s="5" t="s">
        <v>63</v>
      </c>
      <c r="G35" s="5" t="s">
        <v>9</v>
      </c>
      <c r="H35" s="6">
        <v>160</v>
      </c>
      <c r="I35" s="8">
        <f t="shared" si="2"/>
        <v>13.333333333333334</v>
      </c>
      <c r="J35" s="6">
        <f t="shared" si="1"/>
        <v>0.97499999999999998</v>
      </c>
      <c r="K35" s="5"/>
      <c r="L35" s="5"/>
      <c r="M35" s="5"/>
    </row>
    <row r="36" spans="1:13" x14ac:dyDescent="0.3">
      <c r="A36" s="5" t="s">
        <v>64</v>
      </c>
      <c r="B36" s="5" t="s">
        <v>7</v>
      </c>
      <c r="C36" s="5">
        <v>19</v>
      </c>
      <c r="D36" s="6">
        <v>368.36806912999998</v>
      </c>
      <c r="E36" s="7">
        <f t="shared" si="0"/>
        <v>6998.9933134699995</v>
      </c>
      <c r="F36" s="5" t="s">
        <v>65</v>
      </c>
      <c r="G36" s="5" t="s">
        <v>9</v>
      </c>
      <c r="H36" s="6">
        <v>123</v>
      </c>
      <c r="I36" s="8">
        <f t="shared" si="2"/>
        <v>10.25</v>
      </c>
      <c r="J36" s="6">
        <f t="shared" si="1"/>
        <v>1.8536585365853659</v>
      </c>
      <c r="K36" s="5"/>
      <c r="L36" s="5"/>
      <c r="M36" s="5"/>
    </row>
    <row r="37" spans="1:13" x14ac:dyDescent="0.3">
      <c r="A37" s="5" t="s">
        <v>66</v>
      </c>
      <c r="B37" s="5" t="s">
        <v>7</v>
      </c>
      <c r="C37" s="5">
        <v>3</v>
      </c>
      <c r="D37" s="6">
        <v>333.80301878</v>
      </c>
      <c r="E37" s="7">
        <f t="shared" si="0"/>
        <v>1001.40905634</v>
      </c>
      <c r="F37" s="5" t="s">
        <v>67</v>
      </c>
      <c r="G37" s="5" t="s">
        <v>9</v>
      </c>
      <c r="H37" s="6">
        <v>22</v>
      </c>
      <c r="I37" s="8">
        <f t="shared" si="2"/>
        <v>1.8333333333333333</v>
      </c>
      <c r="J37" s="6">
        <f t="shared" si="1"/>
        <v>1.6363636363636365</v>
      </c>
      <c r="K37" s="5"/>
      <c r="L37" s="5"/>
      <c r="M37" s="5"/>
    </row>
    <row r="38" spans="1:13" x14ac:dyDescent="0.3">
      <c r="A38" s="5" t="s">
        <v>68</v>
      </c>
      <c r="B38" s="5" t="s">
        <v>7</v>
      </c>
      <c r="C38" s="5">
        <v>7</v>
      </c>
      <c r="D38" s="6">
        <v>435.75598101999998</v>
      </c>
      <c r="E38" s="7">
        <f t="shared" si="0"/>
        <v>3050.2918671399998</v>
      </c>
      <c r="F38" s="5" t="s">
        <v>69</v>
      </c>
      <c r="G38" s="5" t="s">
        <v>9</v>
      </c>
      <c r="H38" s="6">
        <v>14</v>
      </c>
      <c r="I38" s="8">
        <f>+H38/10.5</f>
        <v>1.3333333333333333</v>
      </c>
      <c r="J38" s="6">
        <f t="shared" si="1"/>
        <v>5.25</v>
      </c>
      <c r="K38" s="5"/>
      <c r="L38" s="5"/>
      <c r="M38" s="5"/>
    </row>
    <row r="39" spans="1:13" x14ac:dyDescent="0.3">
      <c r="A39" s="9" t="s">
        <v>68</v>
      </c>
      <c r="B39" s="9" t="s">
        <v>7</v>
      </c>
      <c r="C39" s="9">
        <f>72-7</f>
        <v>65</v>
      </c>
      <c r="D39" s="10">
        <v>435.75598101999998</v>
      </c>
      <c r="E39" s="11">
        <f t="shared" ref="E39" si="17">+C39*D39</f>
        <v>28324.138766299999</v>
      </c>
      <c r="F39" s="9" t="s">
        <v>69</v>
      </c>
      <c r="G39" s="9" t="s">
        <v>9</v>
      </c>
      <c r="H39" s="10">
        <v>14</v>
      </c>
      <c r="I39" s="12">
        <f>+H39/10.5</f>
        <v>1.3333333333333333</v>
      </c>
      <c r="J39" s="10">
        <f t="shared" ref="J39" si="18">+C39/I39</f>
        <v>48.75</v>
      </c>
      <c r="K39" s="9"/>
      <c r="L39" s="9"/>
      <c r="M39" s="9"/>
    </row>
    <row r="40" spans="1:13" x14ac:dyDescent="0.3">
      <c r="A40" s="5" t="s">
        <v>70</v>
      </c>
      <c r="B40" s="5" t="s">
        <v>7</v>
      </c>
      <c r="C40" s="5">
        <v>8</v>
      </c>
      <c r="D40" s="6">
        <v>421.08607059000002</v>
      </c>
      <c r="E40" s="7">
        <f t="shared" si="0"/>
        <v>3368.6885647200002</v>
      </c>
      <c r="F40" s="5" t="s">
        <v>71</v>
      </c>
      <c r="G40" s="5" t="s">
        <v>72</v>
      </c>
      <c r="H40" s="6">
        <v>9</v>
      </c>
      <c r="I40" s="8">
        <f>+H40/6</f>
        <v>1.5</v>
      </c>
      <c r="J40" s="6">
        <f t="shared" si="1"/>
        <v>5.333333333333333</v>
      </c>
      <c r="K40" s="5"/>
      <c r="L40" s="5"/>
      <c r="M40" s="5"/>
    </row>
    <row r="41" spans="1:13" x14ac:dyDescent="0.3">
      <c r="A41" s="9" t="s">
        <v>70</v>
      </c>
      <c r="B41" s="9" t="s">
        <v>7</v>
      </c>
      <c r="C41" s="9">
        <f>32-8</f>
        <v>24</v>
      </c>
      <c r="D41" s="10">
        <v>421.08607059000002</v>
      </c>
      <c r="E41" s="11">
        <f t="shared" ref="E41" si="19">+C41*D41</f>
        <v>10106.065694160001</v>
      </c>
      <c r="F41" s="9" t="s">
        <v>71</v>
      </c>
      <c r="G41" s="9" t="s">
        <v>72</v>
      </c>
      <c r="H41" s="10">
        <v>9</v>
      </c>
      <c r="I41" s="12">
        <f>+H41/6</f>
        <v>1.5</v>
      </c>
      <c r="J41" s="10">
        <f t="shared" ref="J41" si="20">+C41/I41</f>
        <v>16</v>
      </c>
      <c r="K41" s="9"/>
      <c r="L41" s="9"/>
      <c r="M41" s="9"/>
    </row>
    <row r="42" spans="1:13" x14ac:dyDescent="0.3">
      <c r="A42" s="5" t="s">
        <v>73</v>
      </c>
      <c r="B42" s="5" t="s">
        <v>7</v>
      </c>
      <c r="C42" s="5">
        <v>8</v>
      </c>
      <c r="D42" s="6">
        <v>422.42744445</v>
      </c>
      <c r="E42" s="7">
        <f t="shared" si="0"/>
        <v>3379.4195556</v>
      </c>
      <c r="F42" s="5" t="s">
        <v>74</v>
      </c>
      <c r="G42" s="5" t="s">
        <v>72</v>
      </c>
      <c r="H42" s="6">
        <v>23</v>
      </c>
      <c r="I42" s="8">
        <f t="shared" si="2"/>
        <v>1.9166666666666667</v>
      </c>
      <c r="J42" s="6">
        <f t="shared" si="1"/>
        <v>4.1739130434782608</v>
      </c>
      <c r="K42" s="5"/>
      <c r="L42" s="5"/>
      <c r="M42" s="5"/>
    </row>
    <row r="43" spans="1:13" x14ac:dyDescent="0.3">
      <c r="A43" s="5" t="s">
        <v>75</v>
      </c>
      <c r="B43" s="5" t="s">
        <v>7</v>
      </c>
      <c r="C43" s="5">
        <v>226</v>
      </c>
      <c r="D43" s="6">
        <v>407.95094175000003</v>
      </c>
      <c r="E43" s="7">
        <f t="shared" si="0"/>
        <v>92196.912835499999</v>
      </c>
      <c r="F43" s="5" t="s">
        <v>76</v>
      </c>
      <c r="G43" s="5" t="s">
        <v>9</v>
      </c>
      <c r="H43" s="6">
        <v>794</v>
      </c>
      <c r="I43" s="8">
        <f t="shared" si="2"/>
        <v>66.166666666666671</v>
      </c>
      <c r="J43" s="6">
        <f t="shared" si="1"/>
        <v>3.415617128463476</v>
      </c>
      <c r="K43" s="5"/>
      <c r="L43" s="5"/>
      <c r="M43" s="5"/>
    </row>
    <row r="44" spans="1:13" x14ac:dyDescent="0.3">
      <c r="A44" s="5" t="s">
        <v>77</v>
      </c>
      <c r="B44" s="5" t="s">
        <v>7</v>
      </c>
      <c r="C44" s="5">
        <v>69</v>
      </c>
      <c r="D44" s="6">
        <v>415.31698611000002</v>
      </c>
      <c r="E44" s="7">
        <f t="shared" si="0"/>
        <v>28656.872041590002</v>
      </c>
      <c r="F44" s="5" t="s">
        <v>78</v>
      </c>
      <c r="G44" s="5" t="s">
        <v>72</v>
      </c>
      <c r="H44" s="6">
        <v>246</v>
      </c>
      <c r="I44" s="8">
        <f t="shared" si="2"/>
        <v>20.5</v>
      </c>
      <c r="J44" s="6">
        <f t="shared" si="1"/>
        <v>3.3658536585365852</v>
      </c>
      <c r="K44" s="5"/>
      <c r="L44" s="5"/>
      <c r="M44" s="5"/>
    </row>
    <row r="45" spans="1:13" x14ac:dyDescent="0.3">
      <c r="A45" s="5" t="s">
        <v>79</v>
      </c>
      <c r="B45" s="5" t="s">
        <v>7</v>
      </c>
      <c r="C45" s="5">
        <v>95</v>
      </c>
      <c r="D45" s="6">
        <v>430.15521788000001</v>
      </c>
      <c r="E45" s="7">
        <f t="shared" si="0"/>
        <v>40864.745698600003</v>
      </c>
      <c r="F45" s="5" t="s">
        <v>80</v>
      </c>
      <c r="G45" s="5" t="s">
        <v>72</v>
      </c>
      <c r="H45" s="6">
        <v>71</v>
      </c>
      <c r="I45" s="8">
        <f>+H45/5</f>
        <v>14.2</v>
      </c>
      <c r="J45" s="6">
        <f t="shared" si="1"/>
        <v>6.6901408450704229</v>
      </c>
      <c r="K45" s="5"/>
      <c r="L45" s="5"/>
      <c r="M45" s="5"/>
    </row>
    <row r="46" spans="1:13" x14ac:dyDescent="0.3">
      <c r="A46" s="5" t="s">
        <v>81</v>
      </c>
      <c r="B46" s="5" t="s">
        <v>7</v>
      </c>
      <c r="C46" s="5">
        <v>25</v>
      </c>
      <c r="D46" s="6">
        <v>429.69835705000003</v>
      </c>
      <c r="E46" s="7">
        <f t="shared" si="0"/>
        <v>10742.458926250001</v>
      </c>
      <c r="F46" s="5" t="s">
        <v>82</v>
      </c>
      <c r="G46" s="5" t="s">
        <v>9</v>
      </c>
      <c r="H46" s="6">
        <v>57</v>
      </c>
      <c r="I46" s="8">
        <f t="shared" si="2"/>
        <v>4.75</v>
      </c>
      <c r="J46" s="6">
        <f t="shared" si="1"/>
        <v>5.2631578947368425</v>
      </c>
      <c r="K46" s="5"/>
      <c r="L46" s="5"/>
      <c r="M46" s="5"/>
    </row>
    <row r="47" spans="1:13" x14ac:dyDescent="0.3">
      <c r="A47" s="9" t="s">
        <v>81</v>
      </c>
      <c r="B47" s="9" t="s">
        <v>7</v>
      </c>
      <c r="C47" s="9">
        <f>74-25</f>
        <v>49</v>
      </c>
      <c r="D47" s="10">
        <v>429.69835705000003</v>
      </c>
      <c r="E47" s="11">
        <f t="shared" ref="E47" si="21">+C47*D47</f>
        <v>21055.219495450001</v>
      </c>
      <c r="F47" s="9" t="s">
        <v>82</v>
      </c>
      <c r="G47" s="9" t="s">
        <v>9</v>
      </c>
      <c r="H47" s="10">
        <v>57</v>
      </c>
      <c r="I47" s="12">
        <f t="shared" si="2"/>
        <v>4.75</v>
      </c>
      <c r="J47" s="10">
        <f t="shared" ref="J47" si="22">+C47/I47</f>
        <v>10.315789473684211</v>
      </c>
      <c r="K47" s="9"/>
      <c r="L47" s="9"/>
      <c r="M47" s="9"/>
    </row>
    <row r="48" spans="1:13" x14ac:dyDescent="0.3">
      <c r="A48" s="9" t="s">
        <v>83</v>
      </c>
      <c r="B48" s="9" t="s">
        <v>7</v>
      </c>
      <c r="C48" s="9">
        <v>13</v>
      </c>
      <c r="D48" s="10">
        <v>418.50576923</v>
      </c>
      <c r="E48" s="11">
        <f t="shared" si="0"/>
        <v>5440.5749999899999</v>
      </c>
      <c r="F48" s="9" t="s">
        <v>84</v>
      </c>
      <c r="G48" s="9" t="s">
        <v>9</v>
      </c>
      <c r="H48" s="10">
        <v>2</v>
      </c>
      <c r="I48" s="12">
        <f t="shared" si="2"/>
        <v>0.16666666666666666</v>
      </c>
      <c r="J48" s="10">
        <f t="shared" si="1"/>
        <v>78</v>
      </c>
      <c r="K48" s="9"/>
      <c r="L48" s="9"/>
      <c r="M48" s="9"/>
    </row>
    <row r="49" spans="1:13" x14ac:dyDescent="0.3">
      <c r="A49" s="13" t="s">
        <v>85</v>
      </c>
      <c r="B49" s="13" t="s">
        <v>7</v>
      </c>
      <c r="C49" s="13">
        <v>1</v>
      </c>
      <c r="D49" s="14">
        <v>781.2</v>
      </c>
      <c r="E49" s="15">
        <f t="shared" si="0"/>
        <v>781.2</v>
      </c>
      <c r="F49" s="13" t="s">
        <v>86</v>
      </c>
      <c r="G49" s="13" t="s">
        <v>9</v>
      </c>
      <c r="H49" s="14">
        <v>0</v>
      </c>
      <c r="I49" s="16">
        <f t="shared" si="2"/>
        <v>0</v>
      </c>
      <c r="J49" s="14" t="e">
        <f t="shared" si="1"/>
        <v>#DIV/0!</v>
      </c>
      <c r="K49" s="13"/>
      <c r="L49" s="13"/>
      <c r="M49" s="13"/>
    </row>
    <row r="50" spans="1:13" x14ac:dyDescent="0.3">
      <c r="A50" s="5" t="s">
        <v>87</v>
      </c>
      <c r="B50" s="5" t="s">
        <v>7</v>
      </c>
      <c r="C50" s="5">
        <v>51</v>
      </c>
      <c r="D50" s="6">
        <v>1526.0123802200001</v>
      </c>
      <c r="E50" s="7">
        <f t="shared" si="0"/>
        <v>77826.631391219998</v>
      </c>
      <c r="F50" s="5" t="s">
        <v>88</v>
      </c>
      <c r="G50" s="5" t="s">
        <v>9</v>
      </c>
      <c r="H50" s="6">
        <v>78</v>
      </c>
      <c r="I50" s="8">
        <f>+H50/5.5</f>
        <v>14.181818181818182</v>
      </c>
      <c r="J50" s="6">
        <f t="shared" si="1"/>
        <v>3.5961538461538463</v>
      </c>
      <c r="K50" s="5"/>
      <c r="L50" s="5"/>
      <c r="M50" s="5"/>
    </row>
    <row r="51" spans="1:13" x14ac:dyDescent="0.3">
      <c r="A51" s="13" t="s">
        <v>89</v>
      </c>
      <c r="B51" s="13" t="s">
        <v>7</v>
      </c>
      <c r="C51" s="13">
        <v>1</v>
      </c>
      <c r="D51" s="14">
        <v>11077.608899999999</v>
      </c>
      <c r="E51" s="15">
        <f t="shared" si="0"/>
        <v>11077.608899999999</v>
      </c>
      <c r="F51" s="13" t="s">
        <v>90</v>
      </c>
      <c r="G51" s="13" t="s">
        <v>9</v>
      </c>
      <c r="H51" s="14">
        <v>0</v>
      </c>
      <c r="I51" s="16">
        <f t="shared" si="2"/>
        <v>0</v>
      </c>
      <c r="J51" s="14" t="e">
        <f t="shared" si="1"/>
        <v>#DIV/0!</v>
      </c>
      <c r="K51" s="13"/>
      <c r="L51" s="13"/>
      <c r="M51" s="13"/>
    </row>
    <row r="52" spans="1:13" x14ac:dyDescent="0.3">
      <c r="A52" s="5" t="s">
        <v>91</v>
      </c>
      <c r="B52" s="5" t="s">
        <v>7</v>
      </c>
      <c r="C52" s="5">
        <v>2</v>
      </c>
      <c r="D52" s="6">
        <v>9498.4313000000002</v>
      </c>
      <c r="E52" s="7">
        <f t="shared" si="0"/>
        <v>18996.8626</v>
      </c>
      <c r="F52" s="5" t="s">
        <v>92</v>
      </c>
      <c r="G52" s="5" t="s">
        <v>9</v>
      </c>
      <c r="H52" s="6">
        <v>4</v>
      </c>
      <c r="I52" s="8">
        <f t="shared" si="2"/>
        <v>0.33333333333333331</v>
      </c>
      <c r="J52" s="6">
        <f t="shared" si="1"/>
        <v>6</v>
      </c>
      <c r="K52" s="5"/>
      <c r="L52" s="5"/>
      <c r="M52" s="5"/>
    </row>
    <row r="53" spans="1:13" x14ac:dyDescent="0.3">
      <c r="A53" s="9" t="s">
        <v>91</v>
      </c>
      <c r="B53" s="9" t="s">
        <v>7</v>
      </c>
      <c r="C53" s="9">
        <v>1</v>
      </c>
      <c r="D53" s="10">
        <v>9498.4313000000002</v>
      </c>
      <c r="E53" s="11">
        <f t="shared" ref="E53" si="23">+C53*D53</f>
        <v>9498.4313000000002</v>
      </c>
      <c r="F53" s="9" t="s">
        <v>92</v>
      </c>
      <c r="G53" s="9" t="s">
        <v>9</v>
      </c>
      <c r="H53" s="10">
        <v>4</v>
      </c>
      <c r="I53" s="12">
        <f t="shared" si="2"/>
        <v>0.33333333333333331</v>
      </c>
      <c r="J53" s="10">
        <f t="shared" ref="J53" si="24">+C53/I53</f>
        <v>3</v>
      </c>
      <c r="K53" s="9"/>
      <c r="L53" s="9"/>
      <c r="M53" s="9"/>
    </row>
    <row r="54" spans="1:13" x14ac:dyDescent="0.3">
      <c r="A54" s="5" t="s">
        <v>93</v>
      </c>
      <c r="B54" s="5" t="s">
        <v>7</v>
      </c>
      <c r="C54" s="5">
        <v>86</v>
      </c>
      <c r="D54" s="6">
        <v>2311.11098915</v>
      </c>
      <c r="E54" s="7">
        <f t="shared" si="0"/>
        <v>198755.5450669</v>
      </c>
      <c r="F54" s="5" t="s">
        <v>94</v>
      </c>
      <c r="G54" s="5" t="s">
        <v>9</v>
      </c>
      <c r="H54" s="6">
        <v>998</v>
      </c>
      <c r="I54" s="8">
        <f t="shared" si="2"/>
        <v>83.166666666666671</v>
      </c>
      <c r="J54" s="6">
        <f t="shared" si="1"/>
        <v>1.034068136272545</v>
      </c>
      <c r="K54" s="5"/>
      <c r="L54" s="5"/>
      <c r="M54" s="5"/>
    </row>
    <row r="55" spans="1:13" x14ac:dyDescent="0.3">
      <c r="A55" s="5" t="s">
        <v>95</v>
      </c>
      <c r="B55" s="5" t="s">
        <v>7</v>
      </c>
      <c r="C55" s="5">
        <v>17</v>
      </c>
      <c r="D55" s="6">
        <v>1972.24829576</v>
      </c>
      <c r="E55" s="7">
        <f t="shared" si="0"/>
        <v>33528.221027920001</v>
      </c>
      <c r="F55" s="5" t="s">
        <v>96</v>
      </c>
      <c r="G55" s="5" t="s">
        <v>9</v>
      </c>
      <c r="H55" s="6">
        <v>54</v>
      </c>
      <c r="I55" s="8">
        <f t="shared" si="2"/>
        <v>4.5</v>
      </c>
      <c r="J55" s="6">
        <f t="shared" si="1"/>
        <v>3.7777777777777777</v>
      </c>
      <c r="K55" s="5"/>
      <c r="L55" s="5"/>
      <c r="M55" s="5"/>
    </row>
    <row r="56" spans="1:13" x14ac:dyDescent="0.3">
      <c r="A56" s="13" t="s">
        <v>97</v>
      </c>
      <c r="B56" s="13" t="s">
        <v>7</v>
      </c>
      <c r="C56" s="13">
        <v>1</v>
      </c>
      <c r="D56" s="14">
        <v>604.407825</v>
      </c>
      <c r="E56" s="15">
        <f t="shared" si="0"/>
        <v>604.407825</v>
      </c>
      <c r="F56" s="13" t="s">
        <v>98</v>
      </c>
      <c r="G56" s="13" t="s">
        <v>9</v>
      </c>
      <c r="H56" s="14">
        <v>0</v>
      </c>
      <c r="I56" s="16">
        <f t="shared" si="2"/>
        <v>0</v>
      </c>
      <c r="J56" s="14" t="e">
        <f t="shared" si="1"/>
        <v>#DIV/0!</v>
      </c>
      <c r="K56" s="13"/>
      <c r="L56" s="13"/>
      <c r="M56" s="13"/>
    </row>
    <row r="57" spans="1:13" x14ac:dyDescent="0.3">
      <c r="A57" s="9" t="s">
        <v>99</v>
      </c>
      <c r="B57" s="9" t="s">
        <v>7</v>
      </c>
      <c r="C57" s="9">
        <v>1</v>
      </c>
      <c r="D57" s="10">
        <v>710.89269999999999</v>
      </c>
      <c r="E57" s="11">
        <f t="shared" si="0"/>
        <v>710.89269999999999</v>
      </c>
      <c r="F57" s="9" t="s">
        <v>100</v>
      </c>
      <c r="G57" s="9" t="s">
        <v>9</v>
      </c>
      <c r="H57" s="10">
        <v>1</v>
      </c>
      <c r="I57" s="12">
        <f t="shared" si="2"/>
        <v>8.3333333333333329E-2</v>
      </c>
      <c r="J57" s="10">
        <f t="shared" si="1"/>
        <v>12</v>
      </c>
      <c r="K57" s="9"/>
      <c r="L57" s="9"/>
      <c r="M57" s="9"/>
    </row>
    <row r="58" spans="1:13" x14ac:dyDescent="0.3">
      <c r="A58" s="5" t="s">
        <v>101</v>
      </c>
      <c r="B58" s="5" t="s">
        <v>7</v>
      </c>
      <c r="C58" s="5">
        <v>7</v>
      </c>
      <c r="D58" s="6">
        <v>146.55311922999999</v>
      </c>
      <c r="E58" s="7">
        <f t="shared" si="0"/>
        <v>1025.87183461</v>
      </c>
      <c r="F58" s="5" t="s">
        <v>102</v>
      </c>
      <c r="G58" s="5" t="s">
        <v>9</v>
      </c>
      <c r="H58" s="6">
        <v>15</v>
      </c>
      <c r="I58" s="8">
        <f t="shared" si="2"/>
        <v>1.25</v>
      </c>
      <c r="J58" s="6">
        <f t="shared" si="1"/>
        <v>5.6</v>
      </c>
      <c r="K58" s="5"/>
      <c r="L58" s="5"/>
      <c r="M58" s="5"/>
    </row>
    <row r="59" spans="1:13" x14ac:dyDescent="0.3">
      <c r="A59" s="9" t="s">
        <v>101</v>
      </c>
      <c r="B59" s="9" t="s">
        <v>7</v>
      </c>
      <c r="C59" s="9">
        <f>21-7</f>
        <v>14</v>
      </c>
      <c r="D59" s="10">
        <v>146.55311922999999</v>
      </c>
      <c r="E59" s="11">
        <f t="shared" ref="E59" si="25">+C59*D59</f>
        <v>2051.7436692199999</v>
      </c>
      <c r="F59" s="9" t="s">
        <v>102</v>
      </c>
      <c r="G59" s="9" t="s">
        <v>9</v>
      </c>
      <c r="H59" s="10">
        <v>15</v>
      </c>
      <c r="I59" s="12">
        <f t="shared" si="2"/>
        <v>1.25</v>
      </c>
      <c r="J59" s="10">
        <f t="shared" ref="J59" si="26">+C59/I59</f>
        <v>11.2</v>
      </c>
      <c r="K59" s="9"/>
      <c r="L59" s="9"/>
      <c r="M59" s="9"/>
    </row>
    <row r="60" spans="1:13" x14ac:dyDescent="0.3">
      <c r="A60" s="5" t="s">
        <v>103</v>
      </c>
      <c r="B60" s="5" t="s">
        <v>104</v>
      </c>
      <c r="C60" s="5">
        <v>300</v>
      </c>
      <c r="D60" s="6">
        <v>553.57560000000001</v>
      </c>
      <c r="E60" s="7">
        <f t="shared" si="0"/>
        <v>166072.68</v>
      </c>
      <c r="F60" s="5" t="s">
        <v>105</v>
      </c>
      <c r="G60" s="5" t="s">
        <v>9</v>
      </c>
      <c r="H60" s="6">
        <v>0</v>
      </c>
      <c r="I60" s="8">
        <f t="shared" si="2"/>
        <v>0</v>
      </c>
      <c r="J60" s="6" t="e">
        <f t="shared" si="1"/>
        <v>#DIV/0!</v>
      </c>
      <c r="K60" s="5"/>
      <c r="L60" s="5"/>
      <c r="M60" s="5" t="s">
        <v>673</v>
      </c>
    </row>
    <row r="61" spans="1:13" x14ac:dyDescent="0.3">
      <c r="A61" s="5" t="s">
        <v>106</v>
      </c>
      <c r="B61" s="5" t="s">
        <v>104</v>
      </c>
      <c r="C61" s="5">
        <v>190</v>
      </c>
      <c r="D61" s="6">
        <v>352.7604432</v>
      </c>
      <c r="E61" s="7">
        <f t="shared" si="0"/>
        <v>67024.484207999994</v>
      </c>
      <c r="F61" s="5" t="s">
        <v>107</v>
      </c>
      <c r="G61" s="5" t="s">
        <v>9</v>
      </c>
      <c r="H61" s="6">
        <v>1154</v>
      </c>
      <c r="I61" s="8">
        <f t="shared" si="2"/>
        <v>96.166666666666671</v>
      </c>
      <c r="J61" s="6">
        <f t="shared" si="1"/>
        <v>1.975736568457539</v>
      </c>
      <c r="K61" s="5"/>
      <c r="L61" s="5"/>
      <c r="M61" s="5"/>
    </row>
    <row r="62" spans="1:13" x14ac:dyDescent="0.3">
      <c r="A62" s="13" t="s">
        <v>108</v>
      </c>
      <c r="B62" s="13" t="s">
        <v>109</v>
      </c>
      <c r="C62" s="13">
        <v>1</v>
      </c>
      <c r="D62" s="14">
        <v>1122.4100000000001</v>
      </c>
      <c r="E62" s="15">
        <f t="shared" si="0"/>
        <v>1122.4100000000001</v>
      </c>
      <c r="F62" s="13" t="s">
        <v>110</v>
      </c>
      <c r="G62" s="13" t="s">
        <v>9</v>
      </c>
      <c r="H62" s="14">
        <v>0</v>
      </c>
      <c r="I62" s="16">
        <f t="shared" si="2"/>
        <v>0</v>
      </c>
      <c r="J62" s="14" t="e">
        <f t="shared" si="1"/>
        <v>#DIV/0!</v>
      </c>
      <c r="K62" s="13"/>
      <c r="L62" s="13"/>
      <c r="M62" s="13"/>
    </row>
    <row r="63" spans="1:13" x14ac:dyDescent="0.3">
      <c r="A63" s="13" t="s">
        <v>111</v>
      </c>
      <c r="B63" s="13" t="s">
        <v>109</v>
      </c>
      <c r="C63" s="13">
        <v>1</v>
      </c>
      <c r="D63" s="14">
        <v>1282.76</v>
      </c>
      <c r="E63" s="15">
        <f t="shared" si="0"/>
        <v>1282.76</v>
      </c>
      <c r="F63" s="13" t="s">
        <v>112</v>
      </c>
      <c r="G63" s="13" t="s">
        <v>9</v>
      </c>
      <c r="H63" s="14">
        <v>0</v>
      </c>
      <c r="I63" s="16">
        <f t="shared" si="2"/>
        <v>0</v>
      </c>
      <c r="J63" s="14" t="e">
        <f t="shared" si="1"/>
        <v>#DIV/0!</v>
      </c>
      <c r="K63" s="13"/>
      <c r="L63" s="13"/>
      <c r="M63" s="13"/>
    </row>
    <row r="64" spans="1:13" x14ac:dyDescent="0.3">
      <c r="A64" s="5" t="s">
        <v>113</v>
      </c>
      <c r="B64" s="5" t="s">
        <v>109</v>
      </c>
      <c r="C64" s="5">
        <v>4</v>
      </c>
      <c r="D64" s="6">
        <v>292.27381652000003</v>
      </c>
      <c r="E64" s="7">
        <f t="shared" si="0"/>
        <v>1169.0952660800001</v>
      </c>
      <c r="F64" s="5" t="s">
        <v>114</v>
      </c>
      <c r="G64" s="5" t="s">
        <v>9</v>
      </c>
      <c r="H64" s="6">
        <v>1</v>
      </c>
      <c r="I64" s="8">
        <f t="shared" si="2"/>
        <v>8.3333333333333329E-2</v>
      </c>
      <c r="J64" s="6">
        <f t="shared" si="1"/>
        <v>48</v>
      </c>
      <c r="K64" s="5"/>
      <c r="L64" s="5"/>
      <c r="M64" s="5"/>
    </row>
    <row r="65" spans="1:13" x14ac:dyDescent="0.3">
      <c r="A65" s="5" t="s">
        <v>115</v>
      </c>
      <c r="B65" s="5" t="s">
        <v>109</v>
      </c>
      <c r="C65" s="5">
        <v>1</v>
      </c>
      <c r="D65" s="6">
        <v>382.2</v>
      </c>
      <c r="E65" s="7">
        <f t="shared" si="0"/>
        <v>382.2</v>
      </c>
      <c r="F65" s="5" t="s">
        <v>116</v>
      </c>
      <c r="G65" s="5" t="s">
        <v>9</v>
      </c>
      <c r="H65" s="6">
        <v>0</v>
      </c>
      <c r="I65" s="8">
        <f t="shared" si="2"/>
        <v>0</v>
      </c>
      <c r="J65" s="6" t="e">
        <f t="shared" si="1"/>
        <v>#DIV/0!</v>
      </c>
      <c r="K65" s="5"/>
      <c r="L65" s="5"/>
      <c r="M65" s="5"/>
    </row>
    <row r="66" spans="1:13" x14ac:dyDescent="0.3">
      <c r="A66" s="5" t="s">
        <v>117</v>
      </c>
      <c r="B66" s="5" t="s">
        <v>109</v>
      </c>
      <c r="C66" s="5">
        <v>28</v>
      </c>
      <c r="D66" s="6">
        <v>498.81261205999999</v>
      </c>
      <c r="E66" s="7">
        <f t="shared" si="0"/>
        <v>13966.75313768</v>
      </c>
      <c r="F66" s="5" t="s">
        <v>118</v>
      </c>
      <c r="G66" s="5" t="s">
        <v>9</v>
      </c>
      <c r="H66" s="6">
        <v>3</v>
      </c>
      <c r="I66" s="8">
        <f t="shared" si="2"/>
        <v>0.25</v>
      </c>
      <c r="J66" s="6">
        <f t="shared" si="1"/>
        <v>112</v>
      </c>
      <c r="K66" s="5"/>
      <c r="L66" s="5"/>
      <c r="M66" s="5"/>
    </row>
    <row r="67" spans="1:13" x14ac:dyDescent="0.3">
      <c r="A67" s="5" t="s">
        <v>119</v>
      </c>
      <c r="B67" s="5" t="s">
        <v>109</v>
      </c>
      <c r="C67" s="5">
        <v>6</v>
      </c>
      <c r="D67" s="6">
        <v>587.21116727000003</v>
      </c>
      <c r="E67" s="7">
        <f t="shared" si="0"/>
        <v>3523.2670036200002</v>
      </c>
      <c r="F67" s="5" t="s">
        <v>120</v>
      </c>
      <c r="G67" s="5" t="s">
        <v>9</v>
      </c>
      <c r="H67" s="6">
        <v>2</v>
      </c>
      <c r="I67" s="8">
        <f t="shared" si="2"/>
        <v>0.16666666666666666</v>
      </c>
      <c r="J67" s="6">
        <f t="shared" si="1"/>
        <v>36</v>
      </c>
      <c r="K67" s="5"/>
      <c r="L67" s="5"/>
      <c r="M67" s="5"/>
    </row>
    <row r="68" spans="1:13" x14ac:dyDescent="0.3">
      <c r="A68" s="5" t="s">
        <v>121</v>
      </c>
      <c r="B68" s="5" t="s">
        <v>109</v>
      </c>
      <c r="C68" s="5">
        <v>2</v>
      </c>
      <c r="D68" s="6">
        <v>728.86859259000005</v>
      </c>
      <c r="E68" s="7">
        <f t="shared" si="0"/>
        <v>1457.7371851800001</v>
      </c>
      <c r="F68" s="5" t="s">
        <v>122</v>
      </c>
      <c r="G68" s="5" t="s">
        <v>9</v>
      </c>
      <c r="H68" s="6">
        <v>0</v>
      </c>
      <c r="I68" s="8">
        <f t="shared" si="2"/>
        <v>0</v>
      </c>
      <c r="J68" s="6" t="e">
        <f t="shared" si="1"/>
        <v>#DIV/0!</v>
      </c>
      <c r="K68" s="5"/>
      <c r="L68" s="5"/>
      <c r="M68" s="5"/>
    </row>
    <row r="69" spans="1:13" x14ac:dyDescent="0.3">
      <c r="A69" s="5" t="s">
        <v>123</v>
      </c>
      <c r="B69" s="5" t="s">
        <v>109</v>
      </c>
      <c r="C69" s="5">
        <v>2</v>
      </c>
      <c r="D69" s="6">
        <v>1470</v>
      </c>
      <c r="E69" s="7">
        <f t="shared" si="0"/>
        <v>2940</v>
      </c>
      <c r="F69" s="5" t="s">
        <v>124</v>
      </c>
      <c r="G69" s="5" t="s">
        <v>9</v>
      </c>
      <c r="H69" s="6">
        <v>0</v>
      </c>
      <c r="I69" s="8">
        <f t="shared" si="2"/>
        <v>0</v>
      </c>
      <c r="J69" s="6" t="e">
        <f t="shared" si="1"/>
        <v>#DIV/0!</v>
      </c>
      <c r="K69" s="5"/>
      <c r="L69" s="5"/>
      <c r="M69" s="5"/>
    </row>
    <row r="70" spans="1:13" x14ac:dyDescent="0.3">
      <c r="A70" s="13" t="s">
        <v>125</v>
      </c>
      <c r="B70" s="13" t="s">
        <v>109</v>
      </c>
      <c r="C70" s="13">
        <v>1</v>
      </c>
      <c r="D70" s="14">
        <v>1122.345</v>
      </c>
      <c r="E70" s="15">
        <f t="shared" si="0"/>
        <v>1122.345</v>
      </c>
      <c r="F70" s="13" t="s">
        <v>126</v>
      </c>
      <c r="G70" s="13" t="s">
        <v>9</v>
      </c>
      <c r="H70" s="14">
        <v>0</v>
      </c>
      <c r="I70" s="16">
        <f t="shared" si="2"/>
        <v>0</v>
      </c>
      <c r="J70" s="14" t="e">
        <f t="shared" si="1"/>
        <v>#DIV/0!</v>
      </c>
      <c r="K70" s="13"/>
      <c r="L70" s="13"/>
      <c r="M70" s="13"/>
    </row>
    <row r="71" spans="1:13" x14ac:dyDescent="0.3">
      <c r="A71" s="13" t="s">
        <v>127</v>
      </c>
      <c r="B71" s="13" t="s">
        <v>109</v>
      </c>
      <c r="C71" s="13">
        <v>1</v>
      </c>
      <c r="D71" s="14">
        <v>1595.43</v>
      </c>
      <c r="E71" s="15">
        <f t="shared" si="0"/>
        <v>1595.43</v>
      </c>
      <c r="F71" s="13" t="s">
        <v>128</v>
      </c>
      <c r="G71" s="13" t="s">
        <v>9</v>
      </c>
      <c r="H71" s="14">
        <v>0</v>
      </c>
      <c r="I71" s="16">
        <f t="shared" si="2"/>
        <v>0</v>
      </c>
      <c r="J71" s="14" t="e">
        <f t="shared" si="1"/>
        <v>#DIV/0!</v>
      </c>
      <c r="K71" s="13"/>
      <c r="L71" s="13"/>
      <c r="M71" s="13"/>
    </row>
    <row r="72" spans="1:13" x14ac:dyDescent="0.3">
      <c r="A72" s="5" t="s">
        <v>129</v>
      </c>
      <c r="B72" s="5" t="s">
        <v>109</v>
      </c>
      <c r="C72" s="5">
        <v>1</v>
      </c>
      <c r="D72" s="6">
        <v>2474.66</v>
      </c>
      <c r="E72" s="7">
        <f t="shared" si="0"/>
        <v>2474.66</v>
      </c>
      <c r="F72" s="5" t="s">
        <v>130</v>
      </c>
      <c r="G72" s="5" t="s">
        <v>9</v>
      </c>
      <c r="H72" s="6">
        <v>3</v>
      </c>
      <c r="I72" s="8">
        <f t="shared" si="2"/>
        <v>0.25</v>
      </c>
      <c r="J72" s="6">
        <f t="shared" si="1"/>
        <v>4</v>
      </c>
      <c r="K72" s="5"/>
      <c r="L72" s="5"/>
      <c r="M72" s="5"/>
    </row>
    <row r="73" spans="1:13" x14ac:dyDescent="0.3">
      <c r="A73" s="5" t="s">
        <v>131</v>
      </c>
      <c r="B73" s="5" t="s">
        <v>109</v>
      </c>
      <c r="C73" s="5">
        <v>2</v>
      </c>
      <c r="D73" s="6">
        <v>2095.17</v>
      </c>
      <c r="E73" s="7">
        <f t="shared" si="0"/>
        <v>4190.34</v>
      </c>
      <c r="F73" s="5" t="s">
        <v>132</v>
      </c>
      <c r="G73" s="5" t="s">
        <v>9</v>
      </c>
      <c r="H73" s="6">
        <v>18</v>
      </c>
      <c r="I73" s="8">
        <f t="shared" si="2"/>
        <v>1.5</v>
      </c>
      <c r="J73" s="6">
        <f t="shared" si="1"/>
        <v>1.3333333333333333</v>
      </c>
      <c r="K73" s="5"/>
      <c r="L73" s="5"/>
      <c r="M73" s="5"/>
    </row>
    <row r="74" spans="1:13" x14ac:dyDescent="0.3">
      <c r="A74" s="13" t="s">
        <v>133</v>
      </c>
      <c r="B74" s="13" t="s">
        <v>109</v>
      </c>
      <c r="C74" s="13">
        <v>1</v>
      </c>
      <c r="D74" s="14">
        <v>1598.11</v>
      </c>
      <c r="E74" s="15">
        <f t="shared" si="0"/>
        <v>1598.11</v>
      </c>
      <c r="F74" s="13" t="s">
        <v>134</v>
      </c>
      <c r="G74" s="13" t="s">
        <v>9</v>
      </c>
      <c r="H74" s="14">
        <v>0</v>
      </c>
      <c r="I74" s="16">
        <f t="shared" si="2"/>
        <v>0</v>
      </c>
      <c r="J74" s="14" t="e">
        <f t="shared" si="1"/>
        <v>#DIV/0!</v>
      </c>
      <c r="K74" s="13"/>
      <c r="L74" s="13"/>
      <c r="M74" s="13"/>
    </row>
    <row r="75" spans="1:13" x14ac:dyDescent="0.3">
      <c r="A75" s="5" t="s">
        <v>135</v>
      </c>
      <c r="B75" s="5" t="s">
        <v>109</v>
      </c>
      <c r="C75" s="5">
        <v>2</v>
      </c>
      <c r="D75" s="6">
        <v>2367.7600000000002</v>
      </c>
      <c r="E75" s="7">
        <f t="shared" si="0"/>
        <v>4735.5200000000004</v>
      </c>
      <c r="F75" s="5" t="s">
        <v>136</v>
      </c>
      <c r="G75" s="5" t="s">
        <v>9</v>
      </c>
      <c r="H75" s="6">
        <v>16</v>
      </c>
      <c r="I75" s="8">
        <f t="shared" si="2"/>
        <v>1.3333333333333333</v>
      </c>
      <c r="J75" s="6">
        <f t="shared" si="1"/>
        <v>1.5</v>
      </c>
      <c r="K75" s="5"/>
      <c r="L75" s="5"/>
      <c r="M75" s="5"/>
    </row>
    <row r="76" spans="1:13" x14ac:dyDescent="0.3">
      <c r="A76" s="13" t="s">
        <v>137</v>
      </c>
      <c r="B76" s="13" t="s">
        <v>109</v>
      </c>
      <c r="C76" s="13">
        <v>1</v>
      </c>
      <c r="D76" s="14">
        <v>1940.17</v>
      </c>
      <c r="E76" s="15">
        <f t="shared" si="0"/>
        <v>1940.17</v>
      </c>
      <c r="F76" s="13" t="s">
        <v>138</v>
      </c>
      <c r="G76" s="13" t="s">
        <v>9</v>
      </c>
      <c r="H76" s="14">
        <v>0</v>
      </c>
      <c r="I76" s="16">
        <f t="shared" si="2"/>
        <v>0</v>
      </c>
      <c r="J76" s="14" t="e">
        <f t="shared" si="1"/>
        <v>#DIV/0!</v>
      </c>
      <c r="K76" s="13"/>
      <c r="L76" s="13"/>
      <c r="M76" s="13"/>
    </row>
    <row r="77" spans="1:13" x14ac:dyDescent="0.3">
      <c r="A77" s="13" t="s">
        <v>139</v>
      </c>
      <c r="B77" s="13" t="s">
        <v>109</v>
      </c>
      <c r="C77" s="13">
        <v>1</v>
      </c>
      <c r="D77" s="14">
        <v>2203.7930999999999</v>
      </c>
      <c r="E77" s="15">
        <f t="shared" si="0"/>
        <v>2203.7930999999999</v>
      </c>
      <c r="F77" s="13" t="s">
        <v>140</v>
      </c>
      <c r="G77" s="13" t="s">
        <v>9</v>
      </c>
      <c r="H77" s="14">
        <v>0</v>
      </c>
      <c r="I77" s="16">
        <f t="shared" si="2"/>
        <v>0</v>
      </c>
      <c r="J77" s="14" t="e">
        <f t="shared" si="1"/>
        <v>#DIV/0!</v>
      </c>
      <c r="K77" s="13"/>
      <c r="L77" s="13"/>
      <c r="M77" s="13"/>
    </row>
    <row r="78" spans="1:13" x14ac:dyDescent="0.3">
      <c r="A78" s="5" t="s">
        <v>141</v>
      </c>
      <c r="B78" s="5" t="s">
        <v>109</v>
      </c>
      <c r="C78" s="5">
        <v>2</v>
      </c>
      <c r="D78" s="6">
        <v>1902.76</v>
      </c>
      <c r="E78" s="7">
        <f t="shared" ref="E78:E150" si="27">+C78*D78</f>
        <v>3805.52</v>
      </c>
      <c r="F78" s="5" t="s">
        <v>142</v>
      </c>
      <c r="G78" s="5" t="s">
        <v>9</v>
      </c>
      <c r="H78" s="6">
        <v>15</v>
      </c>
      <c r="I78" s="8">
        <f t="shared" ref="I78:I150" si="28">+H78/12</f>
        <v>1.25</v>
      </c>
      <c r="J78" s="6">
        <f t="shared" ref="J78:J150" si="29">+C78/I78</f>
        <v>1.6</v>
      </c>
      <c r="K78" s="5"/>
      <c r="L78" s="5"/>
      <c r="M78" s="5"/>
    </row>
    <row r="79" spans="1:13" x14ac:dyDescent="0.3">
      <c r="A79" s="13" t="s">
        <v>143</v>
      </c>
      <c r="B79" s="13" t="s">
        <v>109</v>
      </c>
      <c r="C79" s="13">
        <v>1</v>
      </c>
      <c r="D79" s="14">
        <v>1902.76</v>
      </c>
      <c r="E79" s="15">
        <f t="shared" si="27"/>
        <v>1902.76</v>
      </c>
      <c r="F79" s="13" t="s">
        <v>144</v>
      </c>
      <c r="G79" s="13" t="s">
        <v>9</v>
      </c>
      <c r="H79" s="14">
        <v>0</v>
      </c>
      <c r="I79" s="16">
        <f t="shared" si="28"/>
        <v>0</v>
      </c>
      <c r="J79" s="14" t="e">
        <f t="shared" si="29"/>
        <v>#DIV/0!</v>
      </c>
      <c r="K79" s="13"/>
      <c r="L79" s="13"/>
      <c r="M79" s="13"/>
    </row>
    <row r="80" spans="1:13" x14ac:dyDescent="0.3">
      <c r="A80" s="5" t="s">
        <v>145</v>
      </c>
      <c r="B80" s="5" t="s">
        <v>109</v>
      </c>
      <c r="C80" s="5">
        <v>1</v>
      </c>
      <c r="D80" s="6">
        <v>3992.59</v>
      </c>
      <c r="E80" s="7">
        <f t="shared" si="27"/>
        <v>3992.59</v>
      </c>
      <c r="F80" s="5" t="s">
        <v>146</v>
      </c>
      <c r="G80" s="5" t="s">
        <v>9</v>
      </c>
      <c r="H80" s="6">
        <v>11</v>
      </c>
      <c r="I80" s="8">
        <f t="shared" si="28"/>
        <v>0.91666666666666663</v>
      </c>
      <c r="J80" s="6">
        <f t="shared" si="29"/>
        <v>1.0909090909090911</v>
      </c>
      <c r="K80" s="5"/>
      <c r="L80" s="5"/>
      <c r="M80" s="5"/>
    </row>
    <row r="81" spans="1:13" x14ac:dyDescent="0.3">
      <c r="A81" s="13" t="s">
        <v>147</v>
      </c>
      <c r="B81" s="13" t="s">
        <v>109</v>
      </c>
      <c r="C81" s="13">
        <v>1</v>
      </c>
      <c r="D81" s="14">
        <v>1229.31</v>
      </c>
      <c r="E81" s="15">
        <f t="shared" si="27"/>
        <v>1229.31</v>
      </c>
      <c r="F81" s="13" t="s">
        <v>148</v>
      </c>
      <c r="G81" s="13" t="s">
        <v>9</v>
      </c>
      <c r="H81" s="14">
        <v>0</v>
      </c>
      <c r="I81" s="16">
        <f t="shared" si="28"/>
        <v>0</v>
      </c>
      <c r="J81" s="14" t="e">
        <f t="shared" si="29"/>
        <v>#DIV/0!</v>
      </c>
      <c r="K81" s="13"/>
      <c r="L81" s="13"/>
      <c r="M81" s="13"/>
    </row>
    <row r="82" spans="1:13" x14ac:dyDescent="0.3">
      <c r="A82" s="5" t="s">
        <v>149</v>
      </c>
      <c r="B82" s="5" t="s">
        <v>109</v>
      </c>
      <c r="C82" s="5">
        <v>1</v>
      </c>
      <c r="D82" s="6">
        <v>2079.14</v>
      </c>
      <c r="E82" s="7">
        <f t="shared" si="27"/>
        <v>2079.14</v>
      </c>
      <c r="F82" s="5" t="s">
        <v>150</v>
      </c>
      <c r="G82" s="5" t="s">
        <v>9</v>
      </c>
      <c r="H82" s="6">
        <v>6</v>
      </c>
      <c r="I82" s="8">
        <f t="shared" si="28"/>
        <v>0.5</v>
      </c>
      <c r="J82" s="6">
        <f t="shared" si="29"/>
        <v>2</v>
      </c>
      <c r="K82" s="5"/>
      <c r="L82" s="5"/>
      <c r="M82" s="5"/>
    </row>
    <row r="83" spans="1:13" x14ac:dyDescent="0.3">
      <c r="A83" s="5" t="s">
        <v>151</v>
      </c>
      <c r="B83" s="5" t="s">
        <v>109</v>
      </c>
      <c r="C83" s="5">
        <v>1</v>
      </c>
      <c r="D83" s="6">
        <v>2405.17</v>
      </c>
      <c r="E83" s="7">
        <f t="shared" si="27"/>
        <v>2405.17</v>
      </c>
      <c r="F83" s="5" t="s">
        <v>152</v>
      </c>
      <c r="G83" s="5" t="s">
        <v>9</v>
      </c>
      <c r="H83" s="6">
        <v>2</v>
      </c>
      <c r="I83" s="8">
        <f t="shared" si="28"/>
        <v>0.16666666666666666</v>
      </c>
      <c r="J83" s="6">
        <f t="shared" si="29"/>
        <v>6</v>
      </c>
      <c r="K83" s="5"/>
      <c r="L83" s="5"/>
      <c r="M83" s="5"/>
    </row>
    <row r="84" spans="1:13" x14ac:dyDescent="0.3">
      <c r="A84" s="5" t="s">
        <v>153</v>
      </c>
      <c r="B84" s="5" t="s">
        <v>109</v>
      </c>
      <c r="C84" s="5">
        <v>1</v>
      </c>
      <c r="D84" s="6">
        <v>2421.21</v>
      </c>
      <c r="E84" s="7">
        <f t="shared" si="27"/>
        <v>2421.21</v>
      </c>
      <c r="F84" s="5" t="s">
        <v>154</v>
      </c>
      <c r="G84" s="5" t="s">
        <v>9</v>
      </c>
      <c r="H84" s="6">
        <v>8</v>
      </c>
      <c r="I84" s="8">
        <f t="shared" si="28"/>
        <v>0.66666666666666663</v>
      </c>
      <c r="J84" s="6">
        <f t="shared" si="29"/>
        <v>1.5</v>
      </c>
      <c r="K84" s="5"/>
      <c r="L84" s="5"/>
      <c r="M84" s="5"/>
    </row>
    <row r="85" spans="1:13" x14ac:dyDescent="0.3">
      <c r="A85" s="5" t="s">
        <v>155</v>
      </c>
      <c r="B85" s="5" t="s">
        <v>109</v>
      </c>
      <c r="C85" s="5">
        <v>2</v>
      </c>
      <c r="D85" s="6">
        <v>2661.72</v>
      </c>
      <c r="E85" s="7">
        <f t="shared" si="27"/>
        <v>5323.44</v>
      </c>
      <c r="F85" s="5" t="s">
        <v>156</v>
      </c>
      <c r="G85" s="5" t="s">
        <v>9</v>
      </c>
      <c r="H85" s="6">
        <v>10</v>
      </c>
      <c r="I85" s="8">
        <f t="shared" si="28"/>
        <v>0.83333333333333337</v>
      </c>
      <c r="J85" s="6">
        <f t="shared" si="29"/>
        <v>2.4</v>
      </c>
      <c r="K85" s="5"/>
      <c r="L85" s="5"/>
      <c r="M85" s="5"/>
    </row>
    <row r="86" spans="1:13" x14ac:dyDescent="0.3">
      <c r="A86" s="5" t="s">
        <v>157</v>
      </c>
      <c r="B86" s="5" t="s">
        <v>109</v>
      </c>
      <c r="C86" s="5">
        <v>1</v>
      </c>
      <c r="D86" s="6">
        <v>3992.59</v>
      </c>
      <c r="E86" s="7">
        <f t="shared" si="27"/>
        <v>3992.59</v>
      </c>
      <c r="F86" s="5" t="s">
        <v>158</v>
      </c>
      <c r="G86" s="5" t="s">
        <v>9</v>
      </c>
      <c r="H86" s="6">
        <v>3</v>
      </c>
      <c r="I86" s="8">
        <f t="shared" si="28"/>
        <v>0.25</v>
      </c>
      <c r="J86" s="6">
        <f t="shared" si="29"/>
        <v>4</v>
      </c>
      <c r="K86" s="5"/>
      <c r="L86" s="5"/>
      <c r="M86" s="5"/>
    </row>
    <row r="87" spans="1:13" x14ac:dyDescent="0.3">
      <c r="A87" s="5" t="s">
        <v>159</v>
      </c>
      <c r="B87" s="5" t="s">
        <v>160</v>
      </c>
      <c r="C87" s="5">
        <v>4</v>
      </c>
      <c r="D87" s="6">
        <v>127.58620000000001</v>
      </c>
      <c r="E87" s="7">
        <f t="shared" si="27"/>
        <v>510.34480000000002</v>
      </c>
      <c r="F87" s="5" t="s">
        <v>161</v>
      </c>
      <c r="G87" s="5" t="s">
        <v>9</v>
      </c>
      <c r="H87" s="6">
        <v>8</v>
      </c>
      <c r="I87" s="8">
        <f t="shared" si="28"/>
        <v>0.66666666666666663</v>
      </c>
      <c r="J87" s="6">
        <f t="shared" si="29"/>
        <v>6</v>
      </c>
      <c r="K87" s="5"/>
      <c r="L87" s="5"/>
      <c r="M87" s="5"/>
    </row>
    <row r="88" spans="1:13" x14ac:dyDescent="0.3">
      <c r="A88" s="5" t="s">
        <v>162</v>
      </c>
      <c r="B88" s="5" t="s">
        <v>160</v>
      </c>
      <c r="C88" s="5">
        <v>4</v>
      </c>
      <c r="D88" s="6">
        <v>3627.3661346200001</v>
      </c>
      <c r="E88" s="7">
        <f t="shared" si="27"/>
        <v>14509.464538480001</v>
      </c>
      <c r="F88" s="5" t="s">
        <v>163</v>
      </c>
      <c r="G88" s="5" t="s">
        <v>9</v>
      </c>
      <c r="H88" s="6">
        <v>8</v>
      </c>
      <c r="I88" s="8">
        <f t="shared" si="28"/>
        <v>0.66666666666666663</v>
      </c>
      <c r="J88" s="6">
        <f t="shared" si="29"/>
        <v>6</v>
      </c>
      <c r="K88" s="5"/>
      <c r="L88" s="5"/>
      <c r="M88" s="5"/>
    </row>
    <row r="89" spans="1:13" x14ac:dyDescent="0.3">
      <c r="A89" s="9" t="s">
        <v>162</v>
      </c>
      <c r="B89" s="9" t="s">
        <v>160</v>
      </c>
      <c r="C89" s="9">
        <f>3+21-4</f>
        <v>20</v>
      </c>
      <c r="D89" s="10">
        <v>3627.3661346200001</v>
      </c>
      <c r="E89" s="11">
        <f t="shared" ref="E89" si="30">+C89*D89</f>
        <v>72547.322692400005</v>
      </c>
      <c r="F89" s="9" t="s">
        <v>163</v>
      </c>
      <c r="G89" s="9" t="s">
        <v>9</v>
      </c>
      <c r="H89" s="10">
        <v>8</v>
      </c>
      <c r="I89" s="12">
        <f t="shared" si="28"/>
        <v>0.66666666666666663</v>
      </c>
      <c r="J89" s="10">
        <f t="shared" ref="J89" si="31">+C89/I89</f>
        <v>30</v>
      </c>
      <c r="K89" s="9"/>
      <c r="L89" s="9"/>
      <c r="M89" s="9"/>
    </row>
    <row r="90" spans="1:13" x14ac:dyDescent="0.3">
      <c r="A90" s="5" t="s">
        <v>164</v>
      </c>
      <c r="B90" s="5" t="s">
        <v>165</v>
      </c>
      <c r="C90" s="5">
        <v>9</v>
      </c>
      <c r="D90" s="6">
        <v>6431.3237754399997</v>
      </c>
      <c r="E90" s="7">
        <f t="shared" si="27"/>
        <v>57881.913978960001</v>
      </c>
      <c r="F90" s="5" t="s">
        <v>166</v>
      </c>
      <c r="G90" s="5" t="s">
        <v>9</v>
      </c>
      <c r="H90" s="6">
        <v>134</v>
      </c>
      <c r="I90" s="8">
        <f t="shared" si="28"/>
        <v>11.166666666666666</v>
      </c>
      <c r="J90" s="6">
        <f t="shared" si="29"/>
        <v>0.80597014925373134</v>
      </c>
      <c r="K90" s="5"/>
      <c r="L90" s="5"/>
      <c r="M90" s="5"/>
    </row>
    <row r="91" spans="1:13" x14ac:dyDescent="0.3">
      <c r="A91" s="5" t="s">
        <v>167</v>
      </c>
      <c r="B91" s="5" t="s">
        <v>165</v>
      </c>
      <c r="C91" s="5">
        <v>1</v>
      </c>
      <c r="D91" s="6">
        <v>5933.15639216</v>
      </c>
      <c r="E91" s="7">
        <f t="shared" si="27"/>
        <v>5933.15639216</v>
      </c>
      <c r="F91" s="5" t="s">
        <v>168</v>
      </c>
      <c r="G91" s="5" t="s">
        <v>9</v>
      </c>
      <c r="H91" s="6">
        <v>161</v>
      </c>
      <c r="I91" s="8">
        <f t="shared" si="28"/>
        <v>13.416666666666666</v>
      </c>
      <c r="J91" s="6">
        <f t="shared" si="29"/>
        <v>7.4534161490683232E-2</v>
      </c>
      <c r="K91" s="5"/>
      <c r="L91" s="5"/>
      <c r="M91" s="5"/>
    </row>
    <row r="92" spans="1:13" x14ac:dyDescent="0.3">
      <c r="A92" s="5" t="s">
        <v>169</v>
      </c>
      <c r="B92" s="5" t="s">
        <v>165</v>
      </c>
      <c r="C92" s="5">
        <v>10</v>
      </c>
      <c r="D92" s="6">
        <v>2257.6467059699999</v>
      </c>
      <c r="E92" s="7">
        <f t="shared" si="27"/>
        <v>22576.4670597</v>
      </c>
      <c r="F92" s="5" t="s">
        <v>170</v>
      </c>
      <c r="G92" s="5" t="s">
        <v>9</v>
      </c>
      <c r="H92" s="6">
        <v>31</v>
      </c>
      <c r="I92" s="8">
        <f t="shared" si="28"/>
        <v>2.5833333333333335</v>
      </c>
      <c r="J92" s="6">
        <f t="shared" si="29"/>
        <v>3.8709677419354835</v>
      </c>
      <c r="K92" s="5"/>
      <c r="L92" s="5"/>
      <c r="M92" s="5"/>
    </row>
    <row r="93" spans="1:13" x14ac:dyDescent="0.3">
      <c r="A93" s="5" t="s">
        <v>171</v>
      </c>
      <c r="B93" s="5" t="s">
        <v>165</v>
      </c>
      <c r="C93" s="5">
        <v>2</v>
      </c>
      <c r="D93" s="6">
        <v>7089.7687999999998</v>
      </c>
      <c r="E93" s="7">
        <f t="shared" si="27"/>
        <v>14179.5376</v>
      </c>
      <c r="F93" s="5" t="s">
        <v>172</v>
      </c>
      <c r="G93" s="5" t="s">
        <v>9</v>
      </c>
      <c r="H93" s="6">
        <v>5</v>
      </c>
      <c r="I93" s="8">
        <f t="shared" si="28"/>
        <v>0.41666666666666669</v>
      </c>
      <c r="J93" s="6">
        <f t="shared" si="29"/>
        <v>4.8</v>
      </c>
      <c r="K93" s="5"/>
      <c r="L93" s="5"/>
      <c r="M93" s="5"/>
    </row>
    <row r="94" spans="1:13" x14ac:dyDescent="0.3">
      <c r="A94" s="9" t="s">
        <v>171</v>
      </c>
      <c r="B94" s="9" t="s">
        <v>165</v>
      </c>
      <c r="C94" s="9">
        <f>4-2</f>
        <v>2</v>
      </c>
      <c r="D94" s="10">
        <v>7089.7687999999998</v>
      </c>
      <c r="E94" s="11">
        <f t="shared" ref="E94" si="32">+C94*D94</f>
        <v>14179.5376</v>
      </c>
      <c r="F94" s="9" t="s">
        <v>172</v>
      </c>
      <c r="G94" s="9" t="s">
        <v>9</v>
      </c>
      <c r="H94" s="10">
        <v>5</v>
      </c>
      <c r="I94" s="12">
        <f t="shared" si="28"/>
        <v>0.41666666666666669</v>
      </c>
      <c r="J94" s="10">
        <f t="shared" ref="J94" si="33">+C94/I94</f>
        <v>4.8</v>
      </c>
      <c r="K94" s="9"/>
      <c r="L94" s="9"/>
      <c r="M94" s="9"/>
    </row>
    <row r="95" spans="1:13" x14ac:dyDescent="0.3">
      <c r="A95" s="5" t="s">
        <v>173</v>
      </c>
      <c r="B95" s="5" t="s">
        <v>165</v>
      </c>
      <c r="C95" s="5">
        <v>1</v>
      </c>
      <c r="D95" s="6">
        <v>753.63078571000005</v>
      </c>
      <c r="E95" s="7">
        <f t="shared" si="27"/>
        <v>753.63078571000005</v>
      </c>
      <c r="F95" s="5" t="s">
        <v>174</v>
      </c>
      <c r="G95" s="5" t="s">
        <v>9</v>
      </c>
      <c r="H95" s="6">
        <v>7</v>
      </c>
      <c r="I95" s="8">
        <f t="shared" si="28"/>
        <v>0.58333333333333337</v>
      </c>
      <c r="J95" s="6">
        <f t="shared" si="29"/>
        <v>1.7142857142857142</v>
      </c>
      <c r="K95" s="5"/>
      <c r="L95" s="5"/>
      <c r="M95" s="5"/>
    </row>
    <row r="96" spans="1:13" x14ac:dyDescent="0.3">
      <c r="A96" s="5" t="s">
        <v>175</v>
      </c>
      <c r="B96" s="5" t="s">
        <v>176</v>
      </c>
      <c r="C96" s="5">
        <v>1</v>
      </c>
      <c r="D96" s="6">
        <v>97.69</v>
      </c>
      <c r="E96" s="7">
        <f t="shared" si="27"/>
        <v>97.69</v>
      </c>
      <c r="F96" s="5" t="s">
        <v>177</v>
      </c>
      <c r="G96" s="5" t="s">
        <v>9</v>
      </c>
      <c r="H96" s="6">
        <v>13</v>
      </c>
      <c r="I96" s="8">
        <f t="shared" si="28"/>
        <v>1.0833333333333333</v>
      </c>
      <c r="J96" s="6">
        <f t="shared" si="29"/>
        <v>0.92307692307692313</v>
      </c>
      <c r="K96" s="5"/>
      <c r="L96" s="5"/>
      <c r="M96" s="5"/>
    </row>
    <row r="97" spans="1:13" x14ac:dyDescent="0.3">
      <c r="A97" s="5" t="s">
        <v>178</v>
      </c>
      <c r="B97" s="5" t="s">
        <v>176</v>
      </c>
      <c r="C97" s="5">
        <v>7</v>
      </c>
      <c r="D97" s="6">
        <v>20.93</v>
      </c>
      <c r="E97" s="7">
        <f t="shared" si="27"/>
        <v>146.51</v>
      </c>
      <c r="F97" s="5" t="s">
        <v>179</v>
      </c>
      <c r="G97" s="5" t="s">
        <v>9</v>
      </c>
      <c r="H97" s="6">
        <v>14</v>
      </c>
      <c r="I97" s="8">
        <f t="shared" si="28"/>
        <v>1.1666666666666667</v>
      </c>
      <c r="J97" s="6">
        <f t="shared" si="29"/>
        <v>6</v>
      </c>
      <c r="K97" s="5"/>
      <c r="L97" s="5"/>
      <c r="M97" s="5"/>
    </row>
    <row r="98" spans="1:13" x14ac:dyDescent="0.3">
      <c r="A98" s="13" t="s">
        <v>180</v>
      </c>
      <c r="B98" s="13" t="s">
        <v>176</v>
      </c>
      <c r="C98" s="13">
        <v>13</v>
      </c>
      <c r="D98" s="14">
        <v>57.758600000000001</v>
      </c>
      <c r="E98" s="15">
        <f t="shared" si="27"/>
        <v>750.86180000000002</v>
      </c>
      <c r="F98" s="13" t="s">
        <v>181</v>
      </c>
      <c r="G98" s="13" t="s">
        <v>9</v>
      </c>
      <c r="H98" s="14">
        <v>0</v>
      </c>
      <c r="I98" s="16">
        <f t="shared" si="28"/>
        <v>0</v>
      </c>
      <c r="J98" s="14" t="e">
        <f t="shared" si="29"/>
        <v>#DIV/0!</v>
      </c>
      <c r="K98" s="13"/>
      <c r="L98" s="13"/>
      <c r="M98" s="13"/>
    </row>
    <row r="99" spans="1:13" x14ac:dyDescent="0.3">
      <c r="A99" s="5" t="s">
        <v>182</v>
      </c>
      <c r="B99" s="5" t="s">
        <v>183</v>
      </c>
      <c r="C99" s="5">
        <v>9</v>
      </c>
      <c r="D99" s="6">
        <v>961.35537778000003</v>
      </c>
      <c r="E99" s="7">
        <f t="shared" si="27"/>
        <v>8652.1984000200009</v>
      </c>
      <c r="F99" s="5" t="s">
        <v>184</v>
      </c>
      <c r="G99" s="5" t="s">
        <v>9</v>
      </c>
      <c r="H99" s="6">
        <v>23</v>
      </c>
      <c r="I99" s="8">
        <f t="shared" si="28"/>
        <v>1.9166666666666667</v>
      </c>
      <c r="J99" s="6">
        <f t="shared" si="29"/>
        <v>4.695652173913043</v>
      </c>
      <c r="K99" s="5"/>
      <c r="L99" s="5"/>
      <c r="M99" s="5"/>
    </row>
    <row r="100" spans="1:13" x14ac:dyDescent="0.3">
      <c r="A100" s="5" t="s">
        <v>185</v>
      </c>
      <c r="B100" s="5" t="s">
        <v>183</v>
      </c>
      <c r="C100" s="5">
        <v>9</v>
      </c>
      <c r="D100" s="6">
        <v>1129.3060515100001</v>
      </c>
      <c r="E100" s="7">
        <f t="shared" si="27"/>
        <v>10163.754463590001</v>
      </c>
      <c r="F100" s="5" t="s">
        <v>186</v>
      </c>
      <c r="G100" s="5" t="s">
        <v>9</v>
      </c>
      <c r="H100" s="6">
        <v>23</v>
      </c>
      <c r="I100" s="8">
        <f t="shared" si="28"/>
        <v>1.9166666666666667</v>
      </c>
      <c r="J100" s="6">
        <f t="shared" si="29"/>
        <v>4.695652173913043</v>
      </c>
      <c r="K100" s="5"/>
      <c r="L100" s="5"/>
      <c r="M100" s="5"/>
    </row>
    <row r="101" spans="1:13" x14ac:dyDescent="0.3">
      <c r="A101" s="5" t="s">
        <v>187</v>
      </c>
      <c r="B101" s="5" t="s">
        <v>183</v>
      </c>
      <c r="C101" s="5">
        <v>1</v>
      </c>
      <c r="D101" s="6">
        <v>1621.587</v>
      </c>
      <c r="E101" s="7">
        <f t="shared" si="27"/>
        <v>1621.587</v>
      </c>
      <c r="F101" s="5" t="s">
        <v>188</v>
      </c>
      <c r="G101" s="5" t="s">
        <v>9</v>
      </c>
      <c r="H101" s="6">
        <v>4</v>
      </c>
      <c r="I101" s="8">
        <f t="shared" si="28"/>
        <v>0.33333333333333331</v>
      </c>
      <c r="J101" s="6">
        <f t="shared" si="29"/>
        <v>3</v>
      </c>
      <c r="K101" s="5"/>
      <c r="L101" s="5"/>
      <c r="M101" s="5"/>
    </row>
    <row r="102" spans="1:13" x14ac:dyDescent="0.3">
      <c r="A102" s="13" t="s">
        <v>189</v>
      </c>
      <c r="B102" s="13" t="s">
        <v>183</v>
      </c>
      <c r="C102" s="13">
        <v>19</v>
      </c>
      <c r="D102" s="14">
        <v>1657.8148000000001</v>
      </c>
      <c r="E102" s="15">
        <f t="shared" si="27"/>
        <v>31498.481200000002</v>
      </c>
      <c r="F102" s="13" t="s">
        <v>190</v>
      </c>
      <c r="G102" s="13" t="s">
        <v>9</v>
      </c>
      <c r="H102" s="14">
        <v>1</v>
      </c>
      <c r="I102" s="16">
        <f t="shared" si="28"/>
        <v>8.3333333333333329E-2</v>
      </c>
      <c r="J102" s="14">
        <f t="shared" si="29"/>
        <v>228</v>
      </c>
      <c r="K102" s="13"/>
      <c r="L102" s="13"/>
      <c r="M102" s="13"/>
    </row>
    <row r="103" spans="1:13" x14ac:dyDescent="0.3">
      <c r="A103" s="5" t="s">
        <v>191</v>
      </c>
      <c r="B103" s="5" t="s">
        <v>183</v>
      </c>
      <c r="C103" s="5">
        <v>1</v>
      </c>
      <c r="D103" s="6">
        <v>1595.66</v>
      </c>
      <c r="E103" s="7">
        <f t="shared" si="27"/>
        <v>1595.66</v>
      </c>
      <c r="F103" s="5" t="s">
        <v>192</v>
      </c>
      <c r="G103" s="5" t="s">
        <v>9</v>
      </c>
      <c r="H103" s="6">
        <v>11</v>
      </c>
      <c r="I103" s="8">
        <f t="shared" si="28"/>
        <v>0.91666666666666663</v>
      </c>
      <c r="J103" s="6">
        <f t="shared" si="29"/>
        <v>1.0909090909090911</v>
      </c>
      <c r="K103" s="5"/>
      <c r="L103" s="5"/>
      <c r="M103" s="5"/>
    </row>
    <row r="104" spans="1:13" x14ac:dyDescent="0.3">
      <c r="A104" s="5" t="s">
        <v>193</v>
      </c>
      <c r="B104" s="5" t="s">
        <v>183</v>
      </c>
      <c r="C104" s="5">
        <v>1</v>
      </c>
      <c r="D104" s="6">
        <v>1612.116</v>
      </c>
      <c r="E104" s="7">
        <f t="shared" si="27"/>
        <v>1612.116</v>
      </c>
      <c r="F104" s="5" t="s">
        <v>194</v>
      </c>
      <c r="G104" s="5" t="s">
        <v>9</v>
      </c>
      <c r="H104" s="6">
        <v>8</v>
      </c>
      <c r="I104" s="8">
        <f t="shared" si="28"/>
        <v>0.66666666666666663</v>
      </c>
      <c r="J104" s="6">
        <f t="shared" si="29"/>
        <v>1.5</v>
      </c>
      <c r="K104" s="5"/>
      <c r="L104" s="5"/>
      <c r="M104" s="5"/>
    </row>
    <row r="105" spans="1:13" x14ac:dyDescent="0.3">
      <c r="A105" s="9" t="s">
        <v>195</v>
      </c>
      <c r="B105" s="9" t="s">
        <v>183</v>
      </c>
      <c r="C105" s="9">
        <v>11</v>
      </c>
      <c r="D105" s="10">
        <v>4806.5749666700003</v>
      </c>
      <c r="E105" s="11">
        <f t="shared" si="27"/>
        <v>52872.324633370001</v>
      </c>
      <c r="F105" s="9" t="s">
        <v>196</v>
      </c>
      <c r="G105" s="9" t="s">
        <v>9</v>
      </c>
      <c r="H105" s="10">
        <v>3</v>
      </c>
      <c r="I105" s="12">
        <f t="shared" si="28"/>
        <v>0.25</v>
      </c>
      <c r="J105" s="10">
        <f t="shared" si="29"/>
        <v>44</v>
      </c>
      <c r="K105" s="9"/>
      <c r="L105" s="9"/>
      <c r="M105" s="9"/>
    </row>
    <row r="106" spans="1:13" x14ac:dyDescent="0.3">
      <c r="A106" s="13" t="s">
        <v>197</v>
      </c>
      <c r="B106" s="13" t="s">
        <v>183</v>
      </c>
      <c r="C106" s="13">
        <v>5</v>
      </c>
      <c r="D106" s="14">
        <v>3966.4323333299999</v>
      </c>
      <c r="E106" s="15">
        <f t="shared" si="27"/>
        <v>19832.161666649998</v>
      </c>
      <c r="F106" s="13" t="s">
        <v>198</v>
      </c>
      <c r="G106" s="13" t="s">
        <v>9</v>
      </c>
      <c r="H106" s="14">
        <v>2</v>
      </c>
      <c r="I106" s="16">
        <f t="shared" si="28"/>
        <v>0.16666666666666666</v>
      </c>
      <c r="J106" s="14">
        <f t="shared" si="29"/>
        <v>30</v>
      </c>
      <c r="K106" s="13"/>
      <c r="L106" s="13"/>
      <c r="M106" s="13"/>
    </row>
    <row r="107" spans="1:13" x14ac:dyDescent="0.3">
      <c r="A107" s="5" t="s">
        <v>199</v>
      </c>
      <c r="B107" s="5" t="s">
        <v>183</v>
      </c>
      <c r="C107" s="5">
        <v>3</v>
      </c>
      <c r="D107" s="6">
        <v>11223.1672</v>
      </c>
      <c r="E107" s="7">
        <f t="shared" si="27"/>
        <v>33669.501600000003</v>
      </c>
      <c r="F107" s="5" t="s">
        <v>200</v>
      </c>
      <c r="G107" s="5" t="s">
        <v>9</v>
      </c>
      <c r="H107" s="6">
        <v>7</v>
      </c>
      <c r="I107" s="8">
        <f t="shared" si="28"/>
        <v>0.58333333333333337</v>
      </c>
      <c r="J107" s="6">
        <f t="shared" si="29"/>
        <v>5.1428571428571423</v>
      </c>
      <c r="K107" s="5"/>
      <c r="L107" s="5"/>
      <c r="M107" s="5"/>
    </row>
    <row r="108" spans="1:13" x14ac:dyDescent="0.3">
      <c r="A108" s="5" t="s">
        <v>201</v>
      </c>
      <c r="B108" s="5" t="s">
        <v>183</v>
      </c>
      <c r="C108" s="5">
        <v>1</v>
      </c>
      <c r="D108" s="6">
        <v>15186.766100000001</v>
      </c>
      <c r="E108" s="7">
        <f t="shared" si="27"/>
        <v>15186.766100000001</v>
      </c>
      <c r="F108" s="5" t="s">
        <v>202</v>
      </c>
      <c r="G108" s="5" t="s">
        <v>9</v>
      </c>
      <c r="H108" s="6">
        <v>9</v>
      </c>
      <c r="I108" s="8">
        <f t="shared" si="28"/>
        <v>0.75</v>
      </c>
      <c r="J108" s="6">
        <f t="shared" si="29"/>
        <v>1.3333333333333333</v>
      </c>
      <c r="K108" s="5"/>
      <c r="L108" s="5"/>
      <c r="M108" s="5"/>
    </row>
    <row r="109" spans="1:13" x14ac:dyDescent="0.3">
      <c r="A109" s="13" t="s">
        <v>203</v>
      </c>
      <c r="B109" s="13" t="s">
        <v>183</v>
      </c>
      <c r="C109" s="13">
        <v>19</v>
      </c>
      <c r="D109" s="14">
        <v>7329.3846999999996</v>
      </c>
      <c r="E109" s="15">
        <f t="shared" si="27"/>
        <v>139258.30929999999</v>
      </c>
      <c r="F109" s="13" t="s">
        <v>204</v>
      </c>
      <c r="G109" s="13" t="s">
        <v>9</v>
      </c>
      <c r="H109" s="14">
        <v>1</v>
      </c>
      <c r="I109" s="16">
        <f t="shared" si="28"/>
        <v>8.3333333333333329E-2</v>
      </c>
      <c r="J109" s="14">
        <f t="shared" si="29"/>
        <v>228</v>
      </c>
      <c r="K109" s="13"/>
      <c r="L109" s="13"/>
      <c r="M109" s="13"/>
    </row>
    <row r="110" spans="1:13" x14ac:dyDescent="0.3">
      <c r="A110" s="5" t="s">
        <v>205</v>
      </c>
      <c r="B110" s="5" t="s">
        <v>183</v>
      </c>
      <c r="C110" s="5">
        <v>9</v>
      </c>
      <c r="D110" s="6">
        <v>942.83199999999999</v>
      </c>
      <c r="E110" s="7">
        <f t="shared" si="27"/>
        <v>8485.4879999999994</v>
      </c>
      <c r="F110" s="5" t="s">
        <v>206</v>
      </c>
      <c r="G110" s="5" t="s">
        <v>9</v>
      </c>
      <c r="H110" s="6">
        <v>22</v>
      </c>
      <c r="I110" s="8">
        <f t="shared" si="28"/>
        <v>1.8333333333333333</v>
      </c>
      <c r="J110" s="6">
        <f t="shared" si="29"/>
        <v>4.9090909090909092</v>
      </c>
      <c r="K110" s="5"/>
      <c r="L110" s="5"/>
      <c r="M110" s="5"/>
    </row>
    <row r="111" spans="1:13" x14ac:dyDescent="0.3">
      <c r="A111" s="5" t="s">
        <v>207</v>
      </c>
      <c r="B111" s="5" t="s">
        <v>183</v>
      </c>
      <c r="C111" s="5">
        <v>1</v>
      </c>
      <c r="D111" s="6">
        <v>14381.364149999999</v>
      </c>
      <c r="E111" s="7">
        <f t="shared" si="27"/>
        <v>14381.364149999999</v>
      </c>
      <c r="F111" s="5" t="s">
        <v>208</v>
      </c>
      <c r="G111" s="5" t="s">
        <v>9</v>
      </c>
      <c r="H111" s="6">
        <v>3</v>
      </c>
      <c r="I111" s="8">
        <f t="shared" si="28"/>
        <v>0.25</v>
      </c>
      <c r="J111" s="6">
        <f t="shared" si="29"/>
        <v>4</v>
      </c>
      <c r="K111" s="5"/>
      <c r="L111" s="5"/>
      <c r="M111" s="5"/>
    </row>
    <row r="112" spans="1:13" x14ac:dyDescent="0.3">
      <c r="A112" s="9" t="s">
        <v>207</v>
      </c>
      <c r="B112" s="9" t="s">
        <v>183</v>
      </c>
      <c r="C112" s="9">
        <f>3-1</f>
        <v>2</v>
      </c>
      <c r="D112" s="10">
        <v>14381.364149999999</v>
      </c>
      <c r="E112" s="11">
        <f t="shared" ref="E112" si="34">+C112*D112</f>
        <v>28762.728299999999</v>
      </c>
      <c r="F112" s="9" t="s">
        <v>208</v>
      </c>
      <c r="G112" s="9" t="s">
        <v>9</v>
      </c>
      <c r="H112" s="10">
        <v>3</v>
      </c>
      <c r="I112" s="12">
        <f t="shared" si="28"/>
        <v>0.25</v>
      </c>
      <c r="J112" s="10">
        <f t="shared" ref="J112" si="35">+C112/I112</f>
        <v>8</v>
      </c>
      <c r="K112" s="9"/>
      <c r="L112" s="9"/>
      <c r="M112" s="9"/>
    </row>
    <row r="113" spans="1:13" x14ac:dyDescent="0.3">
      <c r="A113" s="5" t="s">
        <v>209</v>
      </c>
      <c r="B113" s="5" t="s">
        <v>183</v>
      </c>
      <c r="C113" s="5">
        <v>5</v>
      </c>
      <c r="D113" s="6">
        <v>2459.1465499999999</v>
      </c>
      <c r="E113" s="7">
        <f t="shared" si="27"/>
        <v>12295.732749999999</v>
      </c>
      <c r="F113" s="5" t="s">
        <v>210</v>
      </c>
      <c r="G113" s="5" t="s">
        <v>9</v>
      </c>
      <c r="H113" s="6">
        <v>11</v>
      </c>
      <c r="I113" s="8">
        <f t="shared" si="28"/>
        <v>0.91666666666666663</v>
      </c>
      <c r="J113" s="6">
        <f t="shared" si="29"/>
        <v>5.454545454545455</v>
      </c>
      <c r="K113" s="5"/>
      <c r="L113" s="5"/>
      <c r="M113" s="5"/>
    </row>
    <row r="114" spans="1:13" x14ac:dyDescent="0.3">
      <c r="A114" s="9" t="s">
        <v>209</v>
      </c>
      <c r="B114" s="9" t="s">
        <v>183</v>
      </c>
      <c r="C114" s="9">
        <f>12-5</f>
        <v>7</v>
      </c>
      <c r="D114" s="10">
        <v>2459.1465499999999</v>
      </c>
      <c r="E114" s="11">
        <f t="shared" ref="E114" si="36">+C114*D114</f>
        <v>17214.025849999998</v>
      </c>
      <c r="F114" s="9" t="s">
        <v>210</v>
      </c>
      <c r="G114" s="9" t="s">
        <v>9</v>
      </c>
      <c r="H114" s="10">
        <v>11</v>
      </c>
      <c r="I114" s="12">
        <f t="shared" si="28"/>
        <v>0.91666666666666663</v>
      </c>
      <c r="J114" s="10">
        <f t="shared" ref="J114" si="37">+C114/I114</f>
        <v>7.6363636363636367</v>
      </c>
      <c r="K114" s="9"/>
      <c r="L114" s="9"/>
      <c r="M114" s="9"/>
    </row>
    <row r="115" spans="1:13" x14ac:dyDescent="0.3">
      <c r="A115" s="13" t="s">
        <v>211</v>
      </c>
      <c r="B115" s="13" t="s">
        <v>183</v>
      </c>
      <c r="C115" s="13">
        <v>2</v>
      </c>
      <c r="D115" s="14">
        <v>5499.8371999999999</v>
      </c>
      <c r="E115" s="15">
        <f t="shared" si="27"/>
        <v>10999.6744</v>
      </c>
      <c r="F115" s="13" t="s">
        <v>212</v>
      </c>
      <c r="G115" s="13" t="s">
        <v>9</v>
      </c>
      <c r="H115" s="14">
        <v>0</v>
      </c>
      <c r="I115" s="16">
        <f t="shared" si="28"/>
        <v>0</v>
      </c>
      <c r="J115" s="14" t="e">
        <f t="shared" si="29"/>
        <v>#DIV/0!</v>
      </c>
      <c r="K115" s="13"/>
      <c r="L115" s="13"/>
      <c r="M115" s="13"/>
    </row>
    <row r="116" spans="1:13" x14ac:dyDescent="0.3">
      <c r="A116" s="9" t="s">
        <v>213</v>
      </c>
      <c r="B116" s="9" t="s">
        <v>183</v>
      </c>
      <c r="C116" s="9">
        <v>4</v>
      </c>
      <c r="D116" s="10">
        <v>5553.3927999999996</v>
      </c>
      <c r="E116" s="11">
        <f t="shared" si="27"/>
        <v>22213.571199999998</v>
      </c>
      <c r="F116" s="9" t="s">
        <v>214</v>
      </c>
      <c r="G116" s="9" t="s">
        <v>9</v>
      </c>
      <c r="H116" s="10">
        <v>1</v>
      </c>
      <c r="I116" s="12">
        <f t="shared" si="28"/>
        <v>8.3333333333333329E-2</v>
      </c>
      <c r="J116" s="10">
        <f t="shared" si="29"/>
        <v>48</v>
      </c>
      <c r="K116" s="9"/>
      <c r="L116" s="9"/>
      <c r="M116" s="9"/>
    </row>
    <row r="117" spans="1:13" x14ac:dyDescent="0.3">
      <c r="A117" s="5" t="s">
        <v>215</v>
      </c>
      <c r="B117" s="5" t="s">
        <v>183</v>
      </c>
      <c r="C117" s="5">
        <v>2</v>
      </c>
      <c r="D117" s="6">
        <v>10867.155345450001</v>
      </c>
      <c r="E117" s="7">
        <f t="shared" si="27"/>
        <v>21734.310690900002</v>
      </c>
      <c r="F117" s="5" t="s">
        <v>216</v>
      </c>
      <c r="G117" s="5" t="s">
        <v>9</v>
      </c>
      <c r="H117" s="6">
        <v>8</v>
      </c>
      <c r="I117" s="8">
        <f t="shared" si="28"/>
        <v>0.66666666666666663</v>
      </c>
      <c r="J117" s="6">
        <f t="shared" si="29"/>
        <v>3</v>
      </c>
      <c r="K117" s="5"/>
      <c r="L117" s="5"/>
      <c r="M117" s="5"/>
    </row>
    <row r="118" spans="1:13" x14ac:dyDescent="0.3">
      <c r="A118" s="5" t="s">
        <v>217</v>
      </c>
      <c r="B118" s="5" t="s">
        <v>183</v>
      </c>
      <c r="C118" s="5">
        <v>2</v>
      </c>
      <c r="D118" s="6">
        <v>14854.32</v>
      </c>
      <c r="E118" s="7">
        <f t="shared" si="27"/>
        <v>29708.639999999999</v>
      </c>
      <c r="F118" s="5" t="s">
        <v>218</v>
      </c>
      <c r="G118" s="5" t="s">
        <v>9</v>
      </c>
      <c r="H118" s="6">
        <v>7</v>
      </c>
      <c r="I118" s="8">
        <f t="shared" si="28"/>
        <v>0.58333333333333337</v>
      </c>
      <c r="J118" s="6">
        <f t="shared" si="29"/>
        <v>3.4285714285714284</v>
      </c>
      <c r="K118" s="5"/>
      <c r="L118" s="5"/>
      <c r="M118" s="5"/>
    </row>
    <row r="119" spans="1:13" x14ac:dyDescent="0.3">
      <c r="A119" s="5" t="s">
        <v>219</v>
      </c>
      <c r="B119" s="5" t="s">
        <v>183</v>
      </c>
      <c r="C119" s="5">
        <v>1</v>
      </c>
      <c r="D119" s="6">
        <v>17139.599999999999</v>
      </c>
      <c r="E119" s="7">
        <f t="shared" si="27"/>
        <v>17139.599999999999</v>
      </c>
      <c r="F119" s="5" t="s">
        <v>220</v>
      </c>
      <c r="G119" s="5" t="s">
        <v>9</v>
      </c>
      <c r="H119" s="6">
        <v>3</v>
      </c>
      <c r="I119" s="8">
        <f t="shared" si="28"/>
        <v>0.25</v>
      </c>
      <c r="J119" s="6">
        <f t="shared" si="29"/>
        <v>4</v>
      </c>
      <c r="K119" s="5"/>
      <c r="L119" s="5"/>
      <c r="M119" s="5"/>
    </row>
    <row r="120" spans="1:13" x14ac:dyDescent="0.3">
      <c r="A120" s="5" t="s">
        <v>221</v>
      </c>
      <c r="B120" s="5" t="s">
        <v>183</v>
      </c>
      <c r="C120" s="5">
        <v>2</v>
      </c>
      <c r="D120" s="6">
        <v>6568.9380000000001</v>
      </c>
      <c r="E120" s="7">
        <f t="shared" si="27"/>
        <v>13137.876</v>
      </c>
      <c r="F120" s="5" t="s">
        <v>222</v>
      </c>
      <c r="G120" s="5" t="s">
        <v>9</v>
      </c>
      <c r="H120" s="6">
        <v>8</v>
      </c>
      <c r="I120" s="8">
        <f t="shared" si="28"/>
        <v>0.66666666666666663</v>
      </c>
      <c r="J120" s="6">
        <f t="shared" si="29"/>
        <v>3</v>
      </c>
      <c r="K120" s="5"/>
      <c r="L120" s="5"/>
      <c r="M120" s="5"/>
    </row>
    <row r="121" spans="1:13" x14ac:dyDescent="0.3">
      <c r="A121" s="5" t="s">
        <v>223</v>
      </c>
      <c r="B121" s="5" t="s">
        <v>183</v>
      </c>
      <c r="C121" s="5">
        <v>3</v>
      </c>
      <c r="D121" s="6">
        <v>6568.9380000000001</v>
      </c>
      <c r="E121" s="7">
        <f t="shared" si="27"/>
        <v>19706.813999999998</v>
      </c>
      <c r="F121" s="5" t="s">
        <v>224</v>
      </c>
      <c r="G121" s="5" t="s">
        <v>9</v>
      </c>
      <c r="H121" s="6">
        <v>6</v>
      </c>
      <c r="I121" s="8">
        <f t="shared" si="28"/>
        <v>0.5</v>
      </c>
      <c r="J121" s="6">
        <f t="shared" si="29"/>
        <v>6</v>
      </c>
      <c r="K121" s="5"/>
      <c r="L121" s="5"/>
      <c r="M121" s="5"/>
    </row>
    <row r="122" spans="1:13" x14ac:dyDescent="0.3">
      <c r="A122" s="9" t="s">
        <v>223</v>
      </c>
      <c r="B122" s="9" t="s">
        <v>183</v>
      </c>
      <c r="C122" s="9">
        <f>4-3</f>
        <v>1</v>
      </c>
      <c r="D122" s="10">
        <v>6568.9380000000001</v>
      </c>
      <c r="E122" s="11">
        <f t="shared" ref="E122" si="38">+C122*D122</f>
        <v>6568.9380000000001</v>
      </c>
      <c r="F122" s="9" t="s">
        <v>224</v>
      </c>
      <c r="G122" s="9" t="s">
        <v>9</v>
      </c>
      <c r="H122" s="10">
        <v>6</v>
      </c>
      <c r="I122" s="12">
        <f t="shared" si="28"/>
        <v>0.5</v>
      </c>
      <c r="J122" s="10">
        <f t="shared" ref="J122" si="39">+C122/I122</f>
        <v>2</v>
      </c>
      <c r="K122" s="9"/>
      <c r="L122" s="9"/>
      <c r="M122" s="9"/>
    </row>
    <row r="123" spans="1:13" x14ac:dyDescent="0.3">
      <c r="A123" s="13" t="s">
        <v>225</v>
      </c>
      <c r="B123" s="13" t="s">
        <v>183</v>
      </c>
      <c r="C123" s="13">
        <v>16</v>
      </c>
      <c r="D123" s="14">
        <v>9565.8701000000001</v>
      </c>
      <c r="E123" s="15">
        <f t="shared" si="27"/>
        <v>153053.9216</v>
      </c>
      <c r="F123" s="13" t="s">
        <v>226</v>
      </c>
      <c r="G123" s="13" t="s">
        <v>9</v>
      </c>
      <c r="H123" s="14">
        <v>1</v>
      </c>
      <c r="I123" s="16">
        <f t="shared" si="28"/>
        <v>8.3333333333333329E-2</v>
      </c>
      <c r="J123" s="14">
        <f t="shared" si="29"/>
        <v>192</v>
      </c>
      <c r="K123" s="13"/>
      <c r="L123" s="13"/>
      <c r="M123" s="13"/>
    </row>
    <row r="124" spans="1:13" x14ac:dyDescent="0.3">
      <c r="A124" s="5" t="s">
        <v>227</v>
      </c>
      <c r="B124" s="5" t="s">
        <v>228</v>
      </c>
      <c r="C124" s="5">
        <v>171</v>
      </c>
      <c r="D124" s="6">
        <v>101.46203444</v>
      </c>
      <c r="E124" s="7">
        <f t="shared" si="27"/>
        <v>17350.007889239998</v>
      </c>
      <c r="F124" s="5" t="s">
        <v>229</v>
      </c>
      <c r="G124" s="5" t="s">
        <v>9</v>
      </c>
      <c r="H124" s="6">
        <v>402</v>
      </c>
      <c r="I124" s="8">
        <f t="shared" si="28"/>
        <v>33.5</v>
      </c>
      <c r="J124" s="6">
        <f t="shared" si="29"/>
        <v>5.1044776119402986</v>
      </c>
      <c r="K124" s="5"/>
      <c r="L124" s="18">
        <v>46063</v>
      </c>
      <c r="M124" s="5" t="s">
        <v>680</v>
      </c>
    </row>
    <row r="125" spans="1:13" x14ac:dyDescent="0.3">
      <c r="A125" s="9" t="s">
        <v>227</v>
      </c>
      <c r="B125" s="9" t="s">
        <v>228</v>
      </c>
      <c r="C125" s="9">
        <f>476-171</f>
        <v>305</v>
      </c>
      <c r="D125" s="10">
        <v>101.46203444</v>
      </c>
      <c r="E125" s="11">
        <f t="shared" ref="E125" si="40">+C125*D125</f>
        <v>30945.920504199999</v>
      </c>
      <c r="F125" s="9" t="s">
        <v>229</v>
      </c>
      <c r="G125" s="9" t="s">
        <v>9</v>
      </c>
      <c r="H125" s="10">
        <v>402</v>
      </c>
      <c r="I125" s="12">
        <f t="shared" si="28"/>
        <v>33.5</v>
      </c>
      <c r="J125" s="10">
        <f t="shared" ref="J125" si="41">+C125/I125</f>
        <v>9.1044776119402986</v>
      </c>
      <c r="K125" s="9"/>
      <c r="L125" s="17">
        <v>46063</v>
      </c>
      <c r="M125" s="9" t="s">
        <v>680</v>
      </c>
    </row>
    <row r="126" spans="1:13" x14ac:dyDescent="0.3">
      <c r="A126" s="5" t="s">
        <v>230</v>
      </c>
      <c r="B126" s="5" t="s">
        <v>228</v>
      </c>
      <c r="C126" s="5">
        <v>15</v>
      </c>
      <c r="D126" s="6">
        <v>48.2</v>
      </c>
      <c r="E126" s="7">
        <f t="shared" si="27"/>
        <v>723</v>
      </c>
      <c r="F126" s="5" t="s">
        <v>231</v>
      </c>
      <c r="G126" s="5" t="s">
        <v>9</v>
      </c>
      <c r="H126" s="6">
        <v>285</v>
      </c>
      <c r="I126" s="8">
        <f t="shared" si="28"/>
        <v>23.75</v>
      </c>
      <c r="J126" s="6">
        <f t="shared" si="29"/>
        <v>0.63157894736842102</v>
      </c>
      <c r="K126" s="5"/>
      <c r="L126" s="5"/>
      <c r="M126" s="5"/>
    </row>
    <row r="127" spans="1:13" x14ac:dyDescent="0.3">
      <c r="A127" s="5" t="s">
        <v>232</v>
      </c>
      <c r="B127" s="5" t="s">
        <v>228</v>
      </c>
      <c r="C127" s="5">
        <v>1297</v>
      </c>
      <c r="D127" s="6">
        <v>100.81997957</v>
      </c>
      <c r="E127" s="7">
        <f t="shared" si="27"/>
        <v>130763.51350229001</v>
      </c>
      <c r="F127" s="5" t="s">
        <v>233</v>
      </c>
      <c r="G127" s="5" t="s">
        <v>9</v>
      </c>
      <c r="H127" s="6">
        <v>3265</v>
      </c>
      <c r="I127" s="8">
        <f t="shared" si="28"/>
        <v>272.08333333333331</v>
      </c>
      <c r="J127" s="6">
        <f t="shared" si="29"/>
        <v>4.7669218989280244</v>
      </c>
      <c r="K127" s="5"/>
      <c r="L127" s="5"/>
      <c r="M127" s="5"/>
    </row>
    <row r="128" spans="1:13" x14ac:dyDescent="0.3">
      <c r="A128" s="5" t="s">
        <v>234</v>
      </c>
      <c r="B128" s="5" t="s">
        <v>228</v>
      </c>
      <c r="C128" s="5">
        <v>500</v>
      </c>
      <c r="D128" s="6">
        <v>48.072922159999997</v>
      </c>
      <c r="E128" s="7">
        <f t="shared" si="27"/>
        <v>24036.461079999997</v>
      </c>
      <c r="F128" s="5" t="s">
        <v>235</v>
      </c>
      <c r="G128" s="5" t="s">
        <v>9</v>
      </c>
      <c r="H128" s="6">
        <v>1074</v>
      </c>
      <c r="I128" s="8">
        <f t="shared" si="28"/>
        <v>89.5</v>
      </c>
      <c r="J128" s="6">
        <f t="shared" si="29"/>
        <v>5.5865921787709496</v>
      </c>
      <c r="K128" s="5"/>
      <c r="L128" s="5"/>
      <c r="M128" s="5"/>
    </row>
    <row r="129" spans="1:13" x14ac:dyDescent="0.3">
      <c r="A129" s="9" t="s">
        <v>234</v>
      </c>
      <c r="B129" s="9" t="s">
        <v>228</v>
      </c>
      <c r="C129" s="9">
        <f>715-500</f>
        <v>215</v>
      </c>
      <c r="D129" s="10">
        <v>48.072922159999997</v>
      </c>
      <c r="E129" s="11">
        <f t="shared" ref="E129" si="42">+C129*D129</f>
        <v>10335.6782644</v>
      </c>
      <c r="F129" s="9" t="s">
        <v>235</v>
      </c>
      <c r="G129" s="9" t="s">
        <v>9</v>
      </c>
      <c r="H129" s="10">
        <v>1074</v>
      </c>
      <c r="I129" s="12">
        <f t="shared" si="28"/>
        <v>89.5</v>
      </c>
      <c r="J129" s="10">
        <f t="shared" ref="J129" si="43">+C129/I129</f>
        <v>2.4022346368715084</v>
      </c>
      <c r="K129" s="9"/>
      <c r="L129" s="9"/>
      <c r="M129" s="9"/>
    </row>
    <row r="130" spans="1:13" x14ac:dyDescent="0.3">
      <c r="A130" s="5" t="s">
        <v>236</v>
      </c>
      <c r="B130" s="5" t="s">
        <v>228</v>
      </c>
      <c r="C130" s="5">
        <v>5</v>
      </c>
      <c r="D130" s="6">
        <v>10.4</v>
      </c>
      <c r="E130" s="7">
        <f t="shared" si="27"/>
        <v>52</v>
      </c>
      <c r="F130" s="5" t="s">
        <v>237</v>
      </c>
      <c r="G130" s="5" t="s">
        <v>9</v>
      </c>
      <c r="H130" s="6">
        <v>9</v>
      </c>
      <c r="I130" s="8">
        <f t="shared" si="28"/>
        <v>0.75</v>
      </c>
      <c r="J130" s="6">
        <f t="shared" si="29"/>
        <v>6.666666666666667</v>
      </c>
      <c r="K130" s="5"/>
      <c r="L130" s="5"/>
      <c r="M130" s="5"/>
    </row>
    <row r="131" spans="1:13" x14ac:dyDescent="0.3">
      <c r="A131" s="5" t="s">
        <v>238</v>
      </c>
      <c r="B131" s="5" t="s">
        <v>239</v>
      </c>
      <c r="C131" s="5">
        <v>14</v>
      </c>
      <c r="D131" s="6">
        <v>19493.41</v>
      </c>
      <c r="E131" s="7">
        <f t="shared" si="27"/>
        <v>272907.74</v>
      </c>
      <c r="F131" s="5" t="s">
        <v>240</v>
      </c>
      <c r="G131" s="5" t="s">
        <v>9</v>
      </c>
      <c r="H131" s="6">
        <f>2+15</f>
        <v>17</v>
      </c>
      <c r="I131" s="8">
        <f>+H131/7</f>
        <v>2.4285714285714284</v>
      </c>
      <c r="J131" s="6">
        <f t="shared" si="29"/>
        <v>5.764705882352942</v>
      </c>
      <c r="K131" s="5"/>
      <c r="L131" s="5"/>
      <c r="M131" s="5"/>
    </row>
    <row r="132" spans="1:13" x14ac:dyDescent="0.3">
      <c r="A132" s="9" t="s">
        <v>238</v>
      </c>
      <c r="B132" s="9" t="s">
        <v>239</v>
      </c>
      <c r="C132" s="9">
        <f>1+24-14</f>
        <v>11</v>
      </c>
      <c r="D132" s="10">
        <v>19493.41</v>
      </c>
      <c r="E132" s="11">
        <f t="shared" ref="E132" si="44">+C132*D132</f>
        <v>214427.51</v>
      </c>
      <c r="F132" s="9" t="s">
        <v>240</v>
      </c>
      <c r="G132" s="9" t="s">
        <v>9</v>
      </c>
      <c r="H132" s="10">
        <f>2+15</f>
        <v>17</v>
      </c>
      <c r="I132" s="12">
        <f>+H132/7</f>
        <v>2.4285714285714284</v>
      </c>
      <c r="J132" s="10">
        <f t="shared" ref="J132" si="45">+C132/I132</f>
        <v>4.5294117647058831</v>
      </c>
      <c r="K132" s="9"/>
      <c r="L132" s="9"/>
      <c r="M132" s="9"/>
    </row>
    <row r="133" spans="1:13" x14ac:dyDescent="0.3">
      <c r="A133" s="5" t="s">
        <v>241</v>
      </c>
      <c r="B133" s="5" t="s">
        <v>239</v>
      </c>
      <c r="C133" s="5">
        <v>1</v>
      </c>
      <c r="D133" s="6">
        <v>20288.710599999999</v>
      </c>
      <c r="E133" s="7">
        <f t="shared" si="27"/>
        <v>20288.710599999999</v>
      </c>
      <c r="F133" s="5" t="s">
        <v>242</v>
      </c>
      <c r="G133" s="5" t="s">
        <v>9</v>
      </c>
      <c r="H133" s="6">
        <v>5</v>
      </c>
      <c r="I133" s="8">
        <f t="shared" si="28"/>
        <v>0.41666666666666669</v>
      </c>
      <c r="J133" s="6">
        <f t="shared" si="29"/>
        <v>2.4</v>
      </c>
      <c r="K133" s="5"/>
      <c r="L133" s="5"/>
      <c r="M133" s="5"/>
    </row>
    <row r="134" spans="1:13" x14ac:dyDescent="0.3">
      <c r="A134" s="9" t="s">
        <v>243</v>
      </c>
      <c r="B134" s="9" t="s">
        <v>239</v>
      </c>
      <c r="C134" s="9">
        <v>3</v>
      </c>
      <c r="D134" s="10">
        <v>13336.2585</v>
      </c>
      <c r="E134" s="11">
        <f t="shared" si="27"/>
        <v>40008.775500000003</v>
      </c>
      <c r="F134" s="9" t="s">
        <v>244</v>
      </c>
      <c r="G134" s="9" t="s">
        <v>9</v>
      </c>
      <c r="H134" s="10">
        <v>1</v>
      </c>
      <c r="I134" s="12">
        <f t="shared" si="28"/>
        <v>8.3333333333333329E-2</v>
      </c>
      <c r="J134" s="10">
        <f t="shared" si="29"/>
        <v>36</v>
      </c>
      <c r="K134" s="9"/>
      <c r="L134" s="9"/>
      <c r="M134" s="9"/>
    </row>
    <row r="135" spans="1:13" x14ac:dyDescent="0.3">
      <c r="A135" s="9" t="s">
        <v>245</v>
      </c>
      <c r="B135" s="9" t="s">
        <v>239</v>
      </c>
      <c r="C135" s="9">
        <v>2</v>
      </c>
      <c r="D135" s="10">
        <v>15896.837582079999</v>
      </c>
      <c r="E135" s="11">
        <f t="shared" si="27"/>
        <v>31793.675164159999</v>
      </c>
      <c r="F135" s="9" t="s">
        <v>246</v>
      </c>
      <c r="G135" s="9" t="s">
        <v>9</v>
      </c>
      <c r="H135" s="10">
        <v>177</v>
      </c>
      <c r="I135" s="12">
        <f t="shared" si="28"/>
        <v>14.75</v>
      </c>
      <c r="J135" s="10">
        <f t="shared" si="29"/>
        <v>0.13559322033898305</v>
      </c>
      <c r="K135" s="9"/>
      <c r="L135" s="9"/>
      <c r="M135" s="9"/>
    </row>
    <row r="136" spans="1:13" x14ac:dyDescent="0.3">
      <c r="A136" s="5" t="s">
        <v>247</v>
      </c>
      <c r="B136" s="5" t="s">
        <v>239</v>
      </c>
      <c r="C136" s="5">
        <v>76</v>
      </c>
      <c r="D136" s="6">
        <v>23505.392199999998</v>
      </c>
      <c r="E136" s="7">
        <f t="shared" si="27"/>
        <v>1786409.8071999999</v>
      </c>
      <c r="F136" s="5" t="s">
        <v>248</v>
      </c>
      <c r="G136" s="5" t="s">
        <v>9</v>
      </c>
      <c r="H136" s="6">
        <v>74</v>
      </c>
      <c r="I136" s="8">
        <f>+H136/3</f>
        <v>24.666666666666668</v>
      </c>
      <c r="J136" s="6">
        <f t="shared" si="29"/>
        <v>3.0810810810810811</v>
      </c>
      <c r="K136" s="5"/>
      <c r="L136" s="5"/>
      <c r="M136" s="5"/>
    </row>
    <row r="137" spans="1:13" x14ac:dyDescent="0.3">
      <c r="A137" s="5" t="s">
        <v>249</v>
      </c>
      <c r="B137" s="5" t="s">
        <v>239</v>
      </c>
      <c r="C137" s="5">
        <v>280</v>
      </c>
      <c r="D137" s="6">
        <v>12509.537762739999</v>
      </c>
      <c r="E137" s="7">
        <f t="shared" si="27"/>
        <v>3502670.5735672</v>
      </c>
      <c r="F137" s="5" t="s">
        <v>250</v>
      </c>
      <c r="G137" s="5" t="s">
        <v>9</v>
      </c>
      <c r="H137" s="6">
        <v>588</v>
      </c>
      <c r="I137" s="8">
        <f t="shared" si="28"/>
        <v>49</v>
      </c>
      <c r="J137" s="6">
        <f t="shared" si="29"/>
        <v>5.7142857142857144</v>
      </c>
      <c r="K137" s="5"/>
      <c r="L137" s="5"/>
      <c r="M137" s="5"/>
    </row>
    <row r="138" spans="1:13" x14ac:dyDescent="0.3">
      <c r="A138" s="9" t="s">
        <v>249</v>
      </c>
      <c r="B138" s="9" t="s">
        <v>239</v>
      </c>
      <c r="C138" s="9">
        <f>192+228-280</f>
        <v>140</v>
      </c>
      <c r="D138" s="10">
        <v>12509.537762739999</v>
      </c>
      <c r="E138" s="11">
        <f t="shared" ref="E138" si="46">+C138*D138</f>
        <v>1751335.2867836</v>
      </c>
      <c r="F138" s="9" t="s">
        <v>250</v>
      </c>
      <c r="G138" s="9" t="s">
        <v>9</v>
      </c>
      <c r="H138" s="10">
        <v>588</v>
      </c>
      <c r="I138" s="12">
        <f t="shared" ref="I138" si="47">+H138/12</f>
        <v>49</v>
      </c>
      <c r="J138" s="10">
        <f t="shared" ref="J138" si="48">+C138/I138</f>
        <v>2.8571428571428572</v>
      </c>
      <c r="K138" s="9"/>
      <c r="L138" s="9"/>
      <c r="M138" s="9"/>
    </row>
    <row r="139" spans="1:13" x14ac:dyDescent="0.3">
      <c r="A139" s="9" t="s">
        <v>251</v>
      </c>
      <c r="B139" s="9" t="s">
        <v>239</v>
      </c>
      <c r="C139" s="9">
        <v>17</v>
      </c>
      <c r="D139" s="10">
        <v>840.32899091000002</v>
      </c>
      <c r="E139" s="11">
        <f t="shared" si="27"/>
        <v>14285.592845470001</v>
      </c>
      <c r="F139" s="9" t="s">
        <v>252</v>
      </c>
      <c r="G139" s="9" t="s">
        <v>9</v>
      </c>
      <c r="H139" s="10">
        <v>8</v>
      </c>
      <c r="I139" s="12">
        <f t="shared" si="28"/>
        <v>0.66666666666666663</v>
      </c>
      <c r="J139" s="10">
        <f t="shared" si="29"/>
        <v>25.5</v>
      </c>
      <c r="K139" s="9"/>
      <c r="L139" s="9"/>
      <c r="M139" s="9"/>
    </row>
    <row r="140" spans="1:13" x14ac:dyDescent="0.3">
      <c r="A140" s="9" t="s">
        <v>253</v>
      </c>
      <c r="B140" s="9" t="s">
        <v>239</v>
      </c>
      <c r="C140" s="9">
        <v>3</v>
      </c>
      <c r="D140" s="10">
        <v>22893.73</v>
      </c>
      <c r="E140" s="11">
        <f t="shared" si="27"/>
        <v>68681.19</v>
      </c>
      <c r="F140" s="9" t="s">
        <v>254</v>
      </c>
      <c r="G140" s="9" t="s">
        <v>9</v>
      </c>
      <c r="H140" s="10">
        <v>0</v>
      </c>
      <c r="I140" s="12">
        <f t="shared" si="28"/>
        <v>0</v>
      </c>
      <c r="J140" s="10" t="e">
        <f t="shared" si="29"/>
        <v>#DIV/0!</v>
      </c>
      <c r="K140" s="9"/>
      <c r="L140" s="17">
        <v>45866</v>
      </c>
      <c r="M140" s="9"/>
    </row>
    <row r="141" spans="1:13" x14ac:dyDescent="0.3">
      <c r="A141" s="5" t="s">
        <v>255</v>
      </c>
      <c r="B141" s="5" t="s">
        <v>239</v>
      </c>
      <c r="C141" s="5">
        <v>382</v>
      </c>
      <c r="D141" s="6">
        <v>11610.30569617</v>
      </c>
      <c r="E141" s="7">
        <f t="shared" si="27"/>
        <v>4435136.7759369398</v>
      </c>
      <c r="F141" s="5" t="s">
        <v>256</v>
      </c>
      <c r="G141" s="5" t="s">
        <v>9</v>
      </c>
      <c r="H141" s="6">
        <v>562</v>
      </c>
      <c r="I141" s="8">
        <f>+H141/7.5</f>
        <v>74.933333333333337</v>
      </c>
      <c r="J141" s="6">
        <f t="shared" si="29"/>
        <v>5.0978647686832739</v>
      </c>
      <c r="K141" s="5"/>
      <c r="L141" s="5"/>
      <c r="M141" s="5"/>
    </row>
    <row r="142" spans="1:13" x14ac:dyDescent="0.3">
      <c r="A142" s="5" t="s">
        <v>257</v>
      </c>
      <c r="B142" s="5" t="s">
        <v>239</v>
      </c>
      <c r="C142" s="5">
        <v>63</v>
      </c>
      <c r="D142" s="6">
        <v>26053.602197799999</v>
      </c>
      <c r="E142" s="7">
        <f t="shared" si="27"/>
        <v>1641376.9384613999</v>
      </c>
      <c r="F142" s="5" t="s">
        <v>258</v>
      </c>
      <c r="G142" s="5" t="s">
        <v>9</v>
      </c>
      <c r="H142" s="6">
        <v>117</v>
      </c>
      <c r="I142" s="8">
        <f>+H142/1</f>
        <v>117</v>
      </c>
      <c r="J142" s="6">
        <f t="shared" si="29"/>
        <v>0.53846153846153844</v>
      </c>
      <c r="K142" s="5"/>
      <c r="L142" s="5"/>
      <c r="M142" s="5"/>
    </row>
    <row r="143" spans="1:13" x14ac:dyDescent="0.3">
      <c r="A143" s="5" t="s">
        <v>259</v>
      </c>
      <c r="B143" s="5" t="s">
        <v>239</v>
      </c>
      <c r="C143" s="5">
        <v>16</v>
      </c>
      <c r="D143" s="6">
        <v>18324.331119999999</v>
      </c>
      <c r="E143" s="7">
        <f t="shared" si="27"/>
        <v>293189.29791999998</v>
      </c>
      <c r="F143" s="5" t="s">
        <v>260</v>
      </c>
      <c r="G143" s="5" t="s">
        <v>9</v>
      </c>
      <c r="H143" s="6">
        <v>224</v>
      </c>
      <c r="I143" s="8">
        <f t="shared" si="28"/>
        <v>18.666666666666668</v>
      </c>
      <c r="J143" s="6">
        <f t="shared" si="29"/>
        <v>0.8571428571428571</v>
      </c>
      <c r="K143" s="5"/>
      <c r="L143" s="5"/>
      <c r="M143" s="5"/>
    </row>
    <row r="144" spans="1:13" x14ac:dyDescent="0.3">
      <c r="A144" s="5" t="s">
        <v>261</v>
      </c>
      <c r="B144" s="5" t="s">
        <v>239</v>
      </c>
      <c r="C144" s="5">
        <f>227+280</f>
        <v>507</v>
      </c>
      <c r="D144" s="6">
        <v>11008.859861950001</v>
      </c>
      <c r="E144" s="7">
        <f t="shared" si="27"/>
        <v>5581491.9500086503</v>
      </c>
      <c r="F144" s="5" t="s">
        <v>262</v>
      </c>
      <c r="G144" s="5" t="s">
        <v>9</v>
      </c>
      <c r="H144" s="6">
        <v>1296</v>
      </c>
      <c r="I144" s="8">
        <f>+H144/8</f>
        <v>162</v>
      </c>
      <c r="J144" s="6">
        <f t="shared" si="29"/>
        <v>3.1296296296296298</v>
      </c>
      <c r="K144" s="5"/>
      <c r="L144" s="5"/>
      <c r="M144" s="5"/>
    </row>
    <row r="145" spans="1:13" x14ac:dyDescent="0.3">
      <c r="A145" s="9" t="s">
        <v>263</v>
      </c>
      <c r="B145" s="9" t="s">
        <v>239</v>
      </c>
      <c r="C145" s="9">
        <v>1</v>
      </c>
      <c r="D145" s="10">
        <v>12404.296</v>
      </c>
      <c r="E145" s="11">
        <f t="shared" si="27"/>
        <v>12404.296</v>
      </c>
      <c r="F145" s="9" t="s">
        <v>264</v>
      </c>
      <c r="G145" s="9" t="s">
        <v>9</v>
      </c>
      <c r="H145" s="10">
        <v>40</v>
      </c>
      <c r="I145" s="12">
        <f t="shared" si="28"/>
        <v>3.3333333333333335</v>
      </c>
      <c r="J145" s="10">
        <f t="shared" si="29"/>
        <v>0.3</v>
      </c>
      <c r="K145" s="9"/>
      <c r="L145" s="9"/>
      <c r="M145" s="9"/>
    </row>
    <row r="146" spans="1:13" x14ac:dyDescent="0.3">
      <c r="A146" s="5" t="s">
        <v>265</v>
      </c>
      <c r="B146" s="5" t="s">
        <v>239</v>
      </c>
      <c r="C146" s="5">
        <v>171</v>
      </c>
      <c r="D146" s="6">
        <v>13693.0104357</v>
      </c>
      <c r="E146" s="7">
        <f t="shared" si="27"/>
        <v>2341504.7845047</v>
      </c>
      <c r="F146" s="5" t="s">
        <v>266</v>
      </c>
      <c r="G146" s="5" t="s">
        <v>9</v>
      </c>
      <c r="H146" s="6">
        <v>1013</v>
      </c>
      <c r="I146" s="8">
        <f t="shared" si="28"/>
        <v>84.416666666666671</v>
      </c>
      <c r="J146" s="6">
        <f t="shared" si="29"/>
        <v>2.0256663376110562</v>
      </c>
      <c r="K146" s="5"/>
      <c r="L146" s="5"/>
      <c r="M146" s="5"/>
    </row>
    <row r="147" spans="1:13" x14ac:dyDescent="0.3">
      <c r="A147" s="5" t="s">
        <v>267</v>
      </c>
      <c r="B147" s="5" t="s">
        <v>239</v>
      </c>
      <c r="C147" s="5">
        <v>22</v>
      </c>
      <c r="D147" s="6">
        <v>11714.745000000001</v>
      </c>
      <c r="E147" s="7">
        <f t="shared" si="27"/>
        <v>257724.39</v>
      </c>
      <c r="F147" s="5" t="s">
        <v>268</v>
      </c>
      <c r="G147" s="5" t="s">
        <v>9</v>
      </c>
      <c r="H147" s="6">
        <v>62</v>
      </c>
      <c r="I147" s="8">
        <f>+H147/0.1</f>
        <v>620</v>
      </c>
      <c r="J147" s="6">
        <f t="shared" si="29"/>
        <v>3.5483870967741936E-2</v>
      </c>
      <c r="K147" s="5"/>
      <c r="L147" s="5"/>
      <c r="M147" s="5"/>
    </row>
    <row r="148" spans="1:13" x14ac:dyDescent="0.3">
      <c r="A148" s="5" t="s">
        <v>269</v>
      </c>
      <c r="B148" s="5" t="s">
        <v>239</v>
      </c>
      <c r="C148" s="5">
        <v>12</v>
      </c>
      <c r="D148" s="6">
        <v>28286.328300000001</v>
      </c>
      <c r="E148" s="7">
        <f t="shared" si="27"/>
        <v>339435.93960000004</v>
      </c>
      <c r="F148" s="5" t="s">
        <v>270</v>
      </c>
      <c r="G148" s="5" t="s">
        <v>9</v>
      </c>
      <c r="H148" s="6">
        <v>0</v>
      </c>
      <c r="I148" s="8">
        <f t="shared" si="28"/>
        <v>0</v>
      </c>
      <c r="J148" s="6" t="e">
        <f t="shared" si="29"/>
        <v>#DIV/0!</v>
      </c>
      <c r="K148" s="5"/>
      <c r="L148" s="18">
        <v>45972</v>
      </c>
      <c r="M148" s="5" t="s">
        <v>673</v>
      </c>
    </row>
    <row r="149" spans="1:13" x14ac:dyDescent="0.3">
      <c r="A149" s="5" t="s">
        <v>271</v>
      </c>
      <c r="B149" s="5" t="s">
        <v>239</v>
      </c>
      <c r="C149" s="5">
        <v>2</v>
      </c>
      <c r="D149" s="6">
        <v>24896.4437</v>
      </c>
      <c r="E149" s="7">
        <f t="shared" si="27"/>
        <v>49792.8874</v>
      </c>
      <c r="F149" s="5" t="s">
        <v>272</v>
      </c>
      <c r="G149" s="5" t="s">
        <v>9</v>
      </c>
      <c r="H149" s="6">
        <v>2</v>
      </c>
      <c r="I149" s="8">
        <f>+H149/4</f>
        <v>0.5</v>
      </c>
      <c r="J149" s="6">
        <f t="shared" si="29"/>
        <v>4</v>
      </c>
      <c r="K149" s="5"/>
      <c r="L149" s="18">
        <v>45972</v>
      </c>
      <c r="M149" s="5" t="s">
        <v>673</v>
      </c>
    </row>
    <row r="150" spans="1:13" x14ac:dyDescent="0.3">
      <c r="A150" s="5" t="s">
        <v>273</v>
      </c>
      <c r="B150" s="5" t="s">
        <v>274</v>
      </c>
      <c r="C150" s="5">
        <v>23600</v>
      </c>
      <c r="D150" s="6">
        <v>5.4453555600000003</v>
      </c>
      <c r="E150" s="7">
        <f t="shared" si="27"/>
        <v>128510.391216</v>
      </c>
      <c r="F150" s="5" t="s">
        <v>275</v>
      </c>
      <c r="G150" s="5" t="s">
        <v>9</v>
      </c>
      <c r="H150" s="6">
        <v>86965</v>
      </c>
      <c r="I150" s="8">
        <f t="shared" si="28"/>
        <v>7247.083333333333</v>
      </c>
      <c r="J150" s="6">
        <f t="shared" si="29"/>
        <v>3.2564824929569367</v>
      </c>
      <c r="K150" s="5"/>
      <c r="L150" s="5"/>
      <c r="M150" s="5"/>
    </row>
    <row r="151" spans="1:13" x14ac:dyDescent="0.3">
      <c r="A151" s="5" t="s">
        <v>276</v>
      </c>
      <c r="B151" s="5" t="s">
        <v>274</v>
      </c>
      <c r="C151" s="5">
        <v>37953</v>
      </c>
      <c r="D151" s="6">
        <v>6.9143430600000002</v>
      </c>
      <c r="E151" s="7">
        <f t="shared" ref="E151:E219" si="49">+C151*D151</f>
        <v>262420.06215618004</v>
      </c>
      <c r="F151" s="5" t="s">
        <v>277</v>
      </c>
      <c r="G151" s="5" t="s">
        <v>9</v>
      </c>
      <c r="H151" s="6">
        <v>109255</v>
      </c>
      <c r="I151" s="8">
        <f t="shared" ref="I151:I220" si="50">+H151/12</f>
        <v>9104.5833333333339</v>
      </c>
      <c r="J151" s="6">
        <f t="shared" ref="J151:J219" si="51">+C151/I151</f>
        <v>4.1685597913138981</v>
      </c>
      <c r="K151" s="5"/>
      <c r="L151" s="5"/>
      <c r="M151" s="5"/>
    </row>
    <row r="152" spans="1:13" x14ac:dyDescent="0.3">
      <c r="A152" s="5" t="s">
        <v>278</v>
      </c>
      <c r="B152" s="5" t="s">
        <v>274</v>
      </c>
      <c r="C152" s="5">
        <v>142</v>
      </c>
      <c r="D152" s="6">
        <v>5.9107343099999996</v>
      </c>
      <c r="E152" s="7">
        <f t="shared" si="49"/>
        <v>839.32427201999997</v>
      </c>
      <c r="F152" s="5" t="s">
        <v>279</v>
      </c>
      <c r="G152" s="5" t="s">
        <v>9</v>
      </c>
      <c r="H152" s="6">
        <v>17957</v>
      </c>
      <c r="I152" s="8">
        <f t="shared" si="50"/>
        <v>1496.4166666666667</v>
      </c>
      <c r="J152" s="6">
        <f t="shared" si="51"/>
        <v>9.4893356351283611E-2</v>
      </c>
      <c r="K152" s="5"/>
      <c r="L152" s="5"/>
      <c r="M152" s="5"/>
    </row>
    <row r="153" spans="1:13" x14ac:dyDescent="0.3">
      <c r="A153" s="5" t="s">
        <v>280</v>
      </c>
      <c r="B153" s="5" t="s">
        <v>274</v>
      </c>
      <c r="C153" s="5">
        <v>42</v>
      </c>
      <c r="D153" s="6">
        <v>6.1585999999999999</v>
      </c>
      <c r="E153" s="7">
        <f t="shared" si="49"/>
        <v>258.66120000000001</v>
      </c>
      <c r="F153" s="5" t="s">
        <v>281</v>
      </c>
      <c r="G153" s="5" t="s">
        <v>9</v>
      </c>
      <c r="H153" s="6">
        <v>462</v>
      </c>
      <c r="I153" s="8">
        <f t="shared" si="50"/>
        <v>38.5</v>
      </c>
      <c r="J153" s="6">
        <f t="shared" si="51"/>
        <v>1.0909090909090908</v>
      </c>
      <c r="K153" s="5"/>
      <c r="L153" s="5"/>
      <c r="M153" s="5"/>
    </row>
    <row r="154" spans="1:13" x14ac:dyDescent="0.3">
      <c r="A154" s="5" t="s">
        <v>282</v>
      </c>
      <c r="B154" s="5" t="s">
        <v>274</v>
      </c>
      <c r="C154" s="5">
        <v>256</v>
      </c>
      <c r="D154" s="6">
        <v>3.9203079399999998</v>
      </c>
      <c r="E154" s="7">
        <f t="shared" si="49"/>
        <v>1003.59883264</v>
      </c>
      <c r="F154" s="5" t="s">
        <v>283</v>
      </c>
      <c r="G154" s="5" t="s">
        <v>9</v>
      </c>
      <c r="H154" s="6">
        <v>14400</v>
      </c>
      <c r="I154" s="8">
        <f t="shared" si="50"/>
        <v>1200</v>
      </c>
      <c r="J154" s="6">
        <f t="shared" si="51"/>
        <v>0.21333333333333335</v>
      </c>
      <c r="K154" s="5"/>
      <c r="L154" s="5"/>
      <c r="M154" s="5"/>
    </row>
    <row r="155" spans="1:13" x14ac:dyDescent="0.3">
      <c r="A155" s="5" t="s">
        <v>284</v>
      </c>
      <c r="B155" s="5" t="s">
        <v>274</v>
      </c>
      <c r="C155" s="5">
        <v>66</v>
      </c>
      <c r="D155" s="6">
        <v>8.1802178199999993</v>
      </c>
      <c r="E155" s="7">
        <f t="shared" si="49"/>
        <v>539.89437611999995</v>
      </c>
      <c r="F155" s="5" t="s">
        <v>285</v>
      </c>
      <c r="G155" s="5" t="s">
        <v>9</v>
      </c>
      <c r="H155" s="6">
        <v>2027</v>
      </c>
      <c r="I155" s="8">
        <f t="shared" si="50"/>
        <v>168.91666666666666</v>
      </c>
      <c r="J155" s="6">
        <f t="shared" si="51"/>
        <v>0.39072520966946228</v>
      </c>
      <c r="K155" s="5"/>
      <c r="L155" s="5"/>
      <c r="M155" s="5"/>
    </row>
    <row r="156" spans="1:13" x14ac:dyDescent="0.3">
      <c r="A156" s="5" t="s">
        <v>286</v>
      </c>
      <c r="B156" s="5" t="s">
        <v>274</v>
      </c>
      <c r="C156" s="5">
        <v>77</v>
      </c>
      <c r="D156" s="6">
        <v>4.6074483300000004</v>
      </c>
      <c r="E156" s="7">
        <f t="shared" si="49"/>
        <v>354.77352141000006</v>
      </c>
      <c r="F156" s="5" t="s">
        <v>287</v>
      </c>
      <c r="G156" s="5" t="s">
        <v>9</v>
      </c>
      <c r="H156" s="6">
        <v>2008</v>
      </c>
      <c r="I156" s="8">
        <f t="shared" si="50"/>
        <v>167.33333333333334</v>
      </c>
      <c r="J156" s="6">
        <f t="shared" si="51"/>
        <v>0.46015936254980078</v>
      </c>
      <c r="K156" s="5"/>
      <c r="L156" s="5"/>
      <c r="M156" s="5"/>
    </row>
    <row r="157" spans="1:13" x14ac:dyDescent="0.3">
      <c r="A157" s="5" t="s">
        <v>288</v>
      </c>
      <c r="B157" s="5" t="s">
        <v>274</v>
      </c>
      <c r="C157" s="5">
        <v>32</v>
      </c>
      <c r="D157" s="6">
        <v>6.1070370699999996</v>
      </c>
      <c r="E157" s="7">
        <f t="shared" si="49"/>
        <v>195.42518623999999</v>
      </c>
      <c r="F157" s="5" t="s">
        <v>289</v>
      </c>
      <c r="G157" s="5" t="s">
        <v>9</v>
      </c>
      <c r="H157" s="6">
        <v>12033</v>
      </c>
      <c r="I157" s="8">
        <f t="shared" si="50"/>
        <v>1002.75</v>
      </c>
      <c r="J157" s="6">
        <f t="shared" si="51"/>
        <v>3.1912241336325108E-2</v>
      </c>
      <c r="K157" s="5"/>
      <c r="L157" s="5"/>
      <c r="M157" s="5"/>
    </row>
    <row r="158" spans="1:13" x14ac:dyDescent="0.3">
      <c r="A158" s="5" t="s">
        <v>290</v>
      </c>
      <c r="B158" s="5" t="s">
        <v>274</v>
      </c>
      <c r="C158" s="5">
        <v>1302</v>
      </c>
      <c r="D158" s="6">
        <v>5.7301956499999998</v>
      </c>
      <c r="E158" s="7">
        <f t="shared" si="49"/>
        <v>7460.7147362999995</v>
      </c>
      <c r="F158" s="5" t="s">
        <v>291</v>
      </c>
      <c r="G158" s="5" t="s">
        <v>9</v>
      </c>
      <c r="H158" s="6">
        <v>8708</v>
      </c>
      <c r="I158" s="8">
        <f t="shared" si="50"/>
        <v>725.66666666666663</v>
      </c>
      <c r="J158" s="6">
        <f t="shared" si="51"/>
        <v>1.7942122186495177</v>
      </c>
      <c r="K158" s="5"/>
      <c r="L158" s="5"/>
      <c r="M158" s="5"/>
    </row>
    <row r="159" spans="1:13" x14ac:dyDescent="0.3">
      <c r="A159" s="5" t="s">
        <v>292</v>
      </c>
      <c r="B159" s="5" t="s">
        <v>274</v>
      </c>
      <c r="C159" s="5">
        <v>34624</v>
      </c>
      <c r="D159" s="6">
        <v>3.06359257</v>
      </c>
      <c r="E159" s="7">
        <f t="shared" si="49"/>
        <v>106073.82914367999</v>
      </c>
      <c r="F159" s="5" t="s">
        <v>293</v>
      </c>
      <c r="G159" s="5" t="s">
        <v>9</v>
      </c>
      <c r="H159" s="6">
        <v>457735</v>
      </c>
      <c r="I159" s="8">
        <f t="shared" si="50"/>
        <v>38144.583333333336</v>
      </c>
      <c r="J159" s="6">
        <f t="shared" si="51"/>
        <v>0.90770423935246369</v>
      </c>
      <c r="K159" s="5"/>
      <c r="L159" s="5"/>
      <c r="M159" s="5"/>
    </row>
    <row r="160" spans="1:13" x14ac:dyDescent="0.3">
      <c r="A160" s="5" t="s">
        <v>294</v>
      </c>
      <c r="B160" s="5" t="s">
        <v>274</v>
      </c>
      <c r="C160" s="5">
        <v>29575</v>
      </c>
      <c r="D160" s="6">
        <v>6.4028775400000004</v>
      </c>
      <c r="E160" s="7">
        <f t="shared" si="49"/>
        <v>189365.10324550001</v>
      </c>
      <c r="F160" s="5" t="s">
        <v>295</v>
      </c>
      <c r="G160" s="5" t="s">
        <v>9</v>
      </c>
      <c r="H160" s="6">
        <v>158516</v>
      </c>
      <c r="I160" s="8">
        <f t="shared" si="50"/>
        <v>13209.666666666666</v>
      </c>
      <c r="J160" s="6">
        <f t="shared" si="51"/>
        <v>2.2388907113477505</v>
      </c>
      <c r="K160" s="5"/>
      <c r="L160" s="5"/>
      <c r="M160" s="5"/>
    </row>
    <row r="161" spans="1:13" x14ac:dyDescent="0.3">
      <c r="A161" s="5" t="s">
        <v>296</v>
      </c>
      <c r="B161" s="5" t="s">
        <v>274</v>
      </c>
      <c r="C161" s="5">
        <v>988</v>
      </c>
      <c r="D161" s="6">
        <v>8.7034678999999997</v>
      </c>
      <c r="E161" s="7">
        <f t="shared" si="49"/>
        <v>8599.0262851999996</v>
      </c>
      <c r="F161" s="5" t="s">
        <v>297</v>
      </c>
      <c r="G161" s="5" t="s">
        <v>9</v>
      </c>
      <c r="H161" s="6">
        <v>5110</v>
      </c>
      <c r="I161" s="8">
        <f t="shared" si="50"/>
        <v>425.83333333333331</v>
      </c>
      <c r="J161" s="6">
        <f t="shared" si="51"/>
        <v>2.3201565557729942</v>
      </c>
      <c r="K161" s="5"/>
      <c r="L161" s="5"/>
      <c r="M161" s="5"/>
    </row>
    <row r="162" spans="1:13" x14ac:dyDescent="0.3">
      <c r="A162" s="5" t="s">
        <v>298</v>
      </c>
      <c r="B162" s="5" t="s">
        <v>274</v>
      </c>
      <c r="C162" s="5">
        <v>1669</v>
      </c>
      <c r="D162" s="6">
        <v>2.99651398</v>
      </c>
      <c r="E162" s="7">
        <f t="shared" si="49"/>
        <v>5001.18183262</v>
      </c>
      <c r="F162" s="5" t="s">
        <v>299</v>
      </c>
      <c r="G162" s="5" t="s">
        <v>9</v>
      </c>
      <c r="H162" s="6">
        <v>739228</v>
      </c>
      <c r="I162" s="8">
        <f t="shared" si="50"/>
        <v>61602.333333333336</v>
      </c>
      <c r="J162" s="6">
        <f t="shared" si="51"/>
        <v>2.7093129589247159E-2</v>
      </c>
      <c r="K162" s="5"/>
      <c r="L162" s="5"/>
      <c r="M162" s="5"/>
    </row>
    <row r="163" spans="1:13" x14ac:dyDescent="0.3">
      <c r="A163" s="5" t="s">
        <v>300</v>
      </c>
      <c r="B163" s="5" t="s">
        <v>274</v>
      </c>
      <c r="C163" s="5">
        <v>8313</v>
      </c>
      <c r="D163" s="6">
        <v>4.8462192499999999</v>
      </c>
      <c r="E163" s="7">
        <f t="shared" si="49"/>
        <v>40286.620625249998</v>
      </c>
      <c r="F163" s="5" t="s">
        <v>301</v>
      </c>
      <c r="G163" s="5" t="s">
        <v>9</v>
      </c>
      <c r="H163" s="6">
        <v>44914</v>
      </c>
      <c r="I163" s="8">
        <f t="shared" si="50"/>
        <v>3742.8333333333335</v>
      </c>
      <c r="J163" s="6">
        <f t="shared" si="51"/>
        <v>2.2210446631339895</v>
      </c>
      <c r="K163" s="5"/>
      <c r="L163" s="5"/>
      <c r="M163" s="5"/>
    </row>
    <row r="164" spans="1:13" x14ac:dyDescent="0.3">
      <c r="A164" s="5" t="s">
        <v>302</v>
      </c>
      <c r="B164" s="5" t="s">
        <v>274</v>
      </c>
      <c r="C164" s="5">
        <v>900</v>
      </c>
      <c r="D164" s="6">
        <v>10.378972409999999</v>
      </c>
      <c r="E164" s="7">
        <f t="shared" si="49"/>
        <v>9341.0751689999997</v>
      </c>
      <c r="F164" s="5" t="s">
        <v>303</v>
      </c>
      <c r="G164" s="5" t="s">
        <v>9</v>
      </c>
      <c r="H164" s="6">
        <v>9128</v>
      </c>
      <c r="I164" s="8">
        <f t="shared" si="50"/>
        <v>760.66666666666663</v>
      </c>
      <c r="J164" s="6">
        <f t="shared" si="51"/>
        <v>1.1831726555652937</v>
      </c>
      <c r="K164" s="5"/>
      <c r="L164" s="5"/>
      <c r="M164" s="5"/>
    </row>
    <row r="165" spans="1:13" x14ac:dyDescent="0.3">
      <c r="A165" s="5" t="s">
        <v>304</v>
      </c>
      <c r="B165" s="5" t="s">
        <v>274</v>
      </c>
      <c r="C165" s="5">
        <v>7342</v>
      </c>
      <c r="D165" s="6">
        <v>7.8631464800000002</v>
      </c>
      <c r="E165" s="7">
        <f t="shared" si="49"/>
        <v>57731.221456159998</v>
      </c>
      <c r="F165" s="5" t="s">
        <v>305</v>
      </c>
      <c r="G165" s="5" t="s">
        <v>9</v>
      </c>
      <c r="H165" s="6">
        <v>23542</v>
      </c>
      <c r="I165" s="8">
        <f t="shared" si="50"/>
        <v>1961.8333333333333</v>
      </c>
      <c r="J165" s="6">
        <f t="shared" si="51"/>
        <v>3.7424178064735369</v>
      </c>
      <c r="K165" s="5"/>
      <c r="L165" s="5"/>
      <c r="M165" s="5"/>
    </row>
    <row r="166" spans="1:13" x14ac:dyDescent="0.3">
      <c r="A166" s="5" t="s">
        <v>306</v>
      </c>
      <c r="B166" s="5" t="s">
        <v>274</v>
      </c>
      <c r="C166" s="5">
        <v>154</v>
      </c>
      <c r="D166" s="6">
        <v>5.1482999999999999</v>
      </c>
      <c r="E166" s="7">
        <f t="shared" si="49"/>
        <v>792.83820000000003</v>
      </c>
      <c r="F166" s="5" t="s">
        <v>307</v>
      </c>
      <c r="G166" s="5" t="s">
        <v>9</v>
      </c>
      <c r="H166" s="6">
        <v>28584</v>
      </c>
      <c r="I166" s="8">
        <f t="shared" si="50"/>
        <v>2382</v>
      </c>
      <c r="J166" s="6">
        <f t="shared" si="51"/>
        <v>6.4651553316540725E-2</v>
      </c>
      <c r="K166" s="5"/>
      <c r="L166" s="5"/>
      <c r="M166" s="5"/>
    </row>
    <row r="167" spans="1:13" x14ac:dyDescent="0.3">
      <c r="A167" s="5" t="s">
        <v>308</v>
      </c>
      <c r="B167" s="5" t="s">
        <v>274</v>
      </c>
      <c r="C167" s="5">
        <f>1650*5</f>
        <v>8250</v>
      </c>
      <c r="D167" s="6">
        <v>5.8869135300000002</v>
      </c>
      <c r="E167" s="7">
        <f t="shared" si="49"/>
        <v>48567.036622500003</v>
      </c>
      <c r="F167" s="5" t="s">
        <v>309</v>
      </c>
      <c r="G167" s="5" t="s">
        <v>9</v>
      </c>
      <c r="H167" s="6">
        <v>19715</v>
      </c>
      <c r="I167" s="8">
        <f t="shared" si="50"/>
        <v>1642.9166666666667</v>
      </c>
      <c r="J167" s="6">
        <f t="shared" si="51"/>
        <v>5.0215571899568854</v>
      </c>
      <c r="K167" s="5"/>
      <c r="L167" s="5"/>
      <c r="M167" s="5"/>
    </row>
    <row r="168" spans="1:13" x14ac:dyDescent="0.3">
      <c r="A168" s="9" t="s">
        <v>308</v>
      </c>
      <c r="B168" s="9" t="s">
        <v>274</v>
      </c>
      <c r="C168" s="9">
        <f>13033-8250</f>
        <v>4783</v>
      </c>
      <c r="D168" s="10">
        <v>5.8869135300000002</v>
      </c>
      <c r="E168" s="11">
        <f t="shared" ref="E168" si="52">+C168*D168</f>
        <v>28157.107413990001</v>
      </c>
      <c r="F168" s="9" t="s">
        <v>309</v>
      </c>
      <c r="G168" s="9" t="s">
        <v>9</v>
      </c>
      <c r="H168" s="10">
        <v>19715</v>
      </c>
      <c r="I168" s="12">
        <f t="shared" si="50"/>
        <v>1642.9166666666667</v>
      </c>
      <c r="J168" s="10">
        <f t="shared" ref="J168" si="53">+C168/I168</f>
        <v>2.9112858229774283</v>
      </c>
      <c r="K168" s="9"/>
      <c r="L168" s="9"/>
      <c r="M168" s="9"/>
    </row>
    <row r="169" spans="1:13" x14ac:dyDescent="0.3">
      <c r="A169" s="5" t="s">
        <v>310</v>
      </c>
      <c r="B169" s="5" t="s">
        <v>274</v>
      </c>
      <c r="C169" s="5">
        <v>58</v>
      </c>
      <c r="D169" s="6">
        <v>5.5699462899999999</v>
      </c>
      <c r="E169" s="7">
        <f t="shared" si="49"/>
        <v>323.05688481999999</v>
      </c>
      <c r="F169" s="5" t="s">
        <v>311</v>
      </c>
      <c r="G169" s="5" t="s">
        <v>9</v>
      </c>
      <c r="H169" s="6">
        <v>16799</v>
      </c>
      <c r="I169" s="8">
        <f t="shared" si="50"/>
        <v>1399.9166666666667</v>
      </c>
      <c r="J169" s="6">
        <f t="shared" si="51"/>
        <v>4.1431037561759629E-2</v>
      </c>
      <c r="K169" s="5"/>
      <c r="L169" s="5"/>
      <c r="M169" s="5"/>
    </row>
    <row r="170" spans="1:13" x14ac:dyDescent="0.3">
      <c r="A170" s="5" t="s">
        <v>312</v>
      </c>
      <c r="B170" s="5" t="s">
        <v>274</v>
      </c>
      <c r="C170" s="5">
        <v>4765</v>
      </c>
      <c r="D170" s="6">
        <v>6.4800474000000001</v>
      </c>
      <c r="E170" s="7">
        <f t="shared" si="49"/>
        <v>30877.425861</v>
      </c>
      <c r="F170" s="5" t="s">
        <v>313</v>
      </c>
      <c r="G170" s="5" t="s">
        <v>9</v>
      </c>
      <c r="H170" s="6">
        <v>48285</v>
      </c>
      <c r="I170" s="8">
        <f t="shared" si="50"/>
        <v>4023.75</v>
      </c>
      <c r="J170" s="6">
        <f t="shared" si="51"/>
        <v>1.1842187014600807</v>
      </c>
      <c r="K170" s="5"/>
      <c r="L170" s="5"/>
      <c r="M170" s="5"/>
    </row>
    <row r="171" spans="1:13" x14ac:dyDescent="0.3">
      <c r="A171" s="5" t="s">
        <v>314</v>
      </c>
      <c r="B171" s="5" t="s">
        <v>274</v>
      </c>
      <c r="C171" s="5">
        <f>560*5</f>
        <v>2800</v>
      </c>
      <c r="D171" s="6">
        <v>7.6250131300000001</v>
      </c>
      <c r="E171" s="7">
        <f t="shared" si="49"/>
        <v>21350.036764</v>
      </c>
      <c r="F171" s="5" t="s">
        <v>315</v>
      </c>
      <c r="G171" s="5" t="s">
        <v>9</v>
      </c>
      <c r="H171" s="6">
        <v>6632</v>
      </c>
      <c r="I171" s="8">
        <f t="shared" si="50"/>
        <v>552.66666666666663</v>
      </c>
      <c r="J171" s="6">
        <f t="shared" si="51"/>
        <v>5.0663449939686371</v>
      </c>
      <c r="K171" s="5"/>
      <c r="L171" s="5"/>
      <c r="M171" s="5"/>
    </row>
    <row r="172" spans="1:13" x14ac:dyDescent="0.3">
      <c r="A172" s="9" t="s">
        <v>314</v>
      </c>
      <c r="B172" s="9" t="s">
        <v>274</v>
      </c>
      <c r="C172" s="9">
        <f>10970-2800</f>
        <v>8170</v>
      </c>
      <c r="D172" s="10">
        <v>7.6250131300000001</v>
      </c>
      <c r="E172" s="11">
        <f t="shared" ref="E172" si="54">+C172*D172</f>
        <v>62296.357272100002</v>
      </c>
      <c r="F172" s="9" t="s">
        <v>315</v>
      </c>
      <c r="G172" s="9" t="s">
        <v>9</v>
      </c>
      <c r="H172" s="10">
        <v>6632</v>
      </c>
      <c r="I172" s="12">
        <f t="shared" si="50"/>
        <v>552.66666666666663</v>
      </c>
      <c r="J172" s="10">
        <f t="shared" ref="J172" si="55">+C172/I172</f>
        <v>14.782870928829917</v>
      </c>
      <c r="K172" s="9"/>
      <c r="L172" s="9"/>
      <c r="M172" s="9"/>
    </row>
    <row r="173" spans="1:13" x14ac:dyDescent="0.3">
      <c r="A173" s="5" t="s">
        <v>316</v>
      </c>
      <c r="B173" s="5" t="s">
        <v>274</v>
      </c>
      <c r="C173" s="5">
        <v>12477</v>
      </c>
      <c r="D173" s="6">
        <v>3.4188000000000001</v>
      </c>
      <c r="E173" s="7">
        <f t="shared" si="49"/>
        <v>42656.367599999998</v>
      </c>
      <c r="F173" s="5" t="s">
        <v>317</v>
      </c>
      <c r="G173" s="5" t="s">
        <v>9</v>
      </c>
      <c r="H173" s="6">
        <v>95083</v>
      </c>
      <c r="I173" s="8">
        <f t="shared" si="50"/>
        <v>7923.583333333333</v>
      </c>
      <c r="J173" s="6">
        <f t="shared" si="51"/>
        <v>1.5746663441414344</v>
      </c>
      <c r="K173" s="5"/>
      <c r="L173" s="5"/>
      <c r="M173" s="5"/>
    </row>
    <row r="174" spans="1:13" x14ac:dyDescent="0.3">
      <c r="A174" s="5" t="s">
        <v>318</v>
      </c>
      <c r="B174" s="5" t="s">
        <v>274</v>
      </c>
      <c r="C174" s="5">
        <v>10160</v>
      </c>
      <c r="D174" s="6">
        <v>3.4188000000000001</v>
      </c>
      <c r="E174" s="7">
        <f t="shared" si="49"/>
        <v>34735.008000000002</v>
      </c>
      <c r="F174" s="5" t="s">
        <v>319</v>
      </c>
      <c r="G174" s="5" t="s">
        <v>9</v>
      </c>
      <c r="H174" s="6">
        <v>143591</v>
      </c>
      <c r="I174" s="8">
        <f t="shared" si="50"/>
        <v>11965.916666666666</v>
      </c>
      <c r="J174" s="6">
        <f t="shared" si="51"/>
        <v>0.8490782848507219</v>
      </c>
      <c r="K174" s="5"/>
      <c r="L174" s="5"/>
      <c r="M174" s="5"/>
    </row>
    <row r="175" spans="1:13" x14ac:dyDescent="0.3">
      <c r="A175" s="5" t="s">
        <v>320</v>
      </c>
      <c r="B175" s="5" t="s">
        <v>274</v>
      </c>
      <c r="C175" s="5">
        <v>607</v>
      </c>
      <c r="D175" s="6">
        <v>3.41880666</v>
      </c>
      <c r="E175" s="7">
        <f t="shared" si="49"/>
        <v>2075.2156426199999</v>
      </c>
      <c r="F175" s="5" t="s">
        <v>321</v>
      </c>
      <c r="G175" s="5" t="s">
        <v>9</v>
      </c>
      <c r="H175" s="6">
        <v>648348</v>
      </c>
      <c r="I175" s="8">
        <f t="shared" si="50"/>
        <v>54029</v>
      </c>
      <c r="J175" s="6">
        <f t="shared" si="51"/>
        <v>1.1234707286827444E-2</v>
      </c>
      <c r="K175" s="5"/>
      <c r="L175" s="5"/>
      <c r="M175" s="5"/>
    </row>
    <row r="176" spans="1:13" x14ac:dyDescent="0.3">
      <c r="A176" s="5" t="s">
        <v>322</v>
      </c>
      <c r="B176" s="5" t="s">
        <v>274</v>
      </c>
      <c r="C176" s="5">
        <v>69</v>
      </c>
      <c r="D176" s="6">
        <v>11.07290096</v>
      </c>
      <c r="E176" s="7">
        <f t="shared" si="49"/>
        <v>764.03016623999997</v>
      </c>
      <c r="F176" s="5" t="s">
        <v>323</v>
      </c>
      <c r="G176" s="5" t="s">
        <v>9</v>
      </c>
      <c r="H176" s="6">
        <v>5031</v>
      </c>
      <c r="I176" s="8">
        <f t="shared" si="50"/>
        <v>419.25</v>
      </c>
      <c r="J176" s="6">
        <f t="shared" si="51"/>
        <v>0.16457960644007155</v>
      </c>
      <c r="K176" s="5"/>
      <c r="L176" s="5"/>
      <c r="M176" s="5"/>
    </row>
    <row r="177" spans="1:13" x14ac:dyDescent="0.3">
      <c r="A177" s="5" t="s">
        <v>324</v>
      </c>
      <c r="B177" s="5" t="s">
        <v>274</v>
      </c>
      <c r="C177" s="5">
        <v>58</v>
      </c>
      <c r="D177" s="6">
        <v>5.83</v>
      </c>
      <c r="E177" s="7">
        <f t="shared" si="49"/>
        <v>338.14</v>
      </c>
      <c r="F177" s="5" t="s">
        <v>325</v>
      </c>
      <c r="G177" s="5" t="s">
        <v>9</v>
      </c>
      <c r="H177" s="6">
        <v>29142</v>
      </c>
      <c r="I177" s="8">
        <f t="shared" si="50"/>
        <v>2428.5</v>
      </c>
      <c r="J177" s="6">
        <f t="shared" si="51"/>
        <v>2.3883055383981881E-2</v>
      </c>
      <c r="K177" s="5"/>
      <c r="L177" s="5"/>
      <c r="M177" s="5"/>
    </row>
    <row r="178" spans="1:13" x14ac:dyDescent="0.3">
      <c r="A178" s="13" t="s">
        <v>326</v>
      </c>
      <c r="B178" s="13" t="s">
        <v>274</v>
      </c>
      <c r="C178" s="13">
        <v>21</v>
      </c>
      <c r="D178" s="14">
        <v>13.38</v>
      </c>
      <c r="E178" s="15">
        <f t="shared" si="49"/>
        <v>280.98</v>
      </c>
      <c r="F178" s="13" t="s">
        <v>327</v>
      </c>
      <c r="G178" s="13" t="s">
        <v>9</v>
      </c>
      <c r="H178" s="14">
        <v>0</v>
      </c>
      <c r="I178" s="16">
        <f t="shared" si="50"/>
        <v>0</v>
      </c>
      <c r="J178" s="14" t="e">
        <f t="shared" si="51"/>
        <v>#DIV/0!</v>
      </c>
      <c r="K178" s="13"/>
      <c r="L178" s="13"/>
      <c r="M178" s="13"/>
    </row>
    <row r="179" spans="1:13" x14ac:dyDescent="0.3">
      <c r="A179" s="5" t="s">
        <v>328</v>
      </c>
      <c r="B179" s="5" t="s">
        <v>274</v>
      </c>
      <c r="C179" s="5">
        <f>180*5</f>
        <v>900</v>
      </c>
      <c r="D179" s="6">
        <v>7.8286355700000003</v>
      </c>
      <c r="E179" s="7">
        <f t="shared" si="49"/>
        <v>7045.7720130000007</v>
      </c>
      <c r="F179" s="5" t="s">
        <v>329</v>
      </c>
      <c r="G179" s="5" t="s">
        <v>9</v>
      </c>
      <c r="H179" s="6">
        <v>915</v>
      </c>
      <c r="I179" s="8">
        <f>+H179/5.2</f>
        <v>175.96153846153845</v>
      </c>
      <c r="J179" s="6">
        <f t="shared" si="51"/>
        <v>5.1147540983606561</v>
      </c>
      <c r="K179" s="5"/>
      <c r="L179" s="18">
        <v>46063</v>
      </c>
      <c r="M179" s="5" t="s">
        <v>681</v>
      </c>
    </row>
    <row r="180" spans="1:13" x14ac:dyDescent="0.3">
      <c r="A180" s="9" t="s">
        <v>328</v>
      </c>
      <c r="B180" s="9" t="s">
        <v>274</v>
      </c>
      <c r="C180" s="9">
        <f>2415-900</f>
        <v>1515</v>
      </c>
      <c r="D180" s="10">
        <v>7.8286355700000003</v>
      </c>
      <c r="E180" s="11">
        <f t="shared" ref="E180" si="56">+C180*D180</f>
        <v>11860.382888550001</v>
      </c>
      <c r="F180" s="9" t="s">
        <v>329</v>
      </c>
      <c r="G180" s="9" t="s">
        <v>9</v>
      </c>
      <c r="H180" s="10">
        <v>915</v>
      </c>
      <c r="I180" s="12">
        <f>+H180/5.2</f>
        <v>175.96153846153845</v>
      </c>
      <c r="J180" s="10">
        <f t="shared" ref="J180" si="57">+C180/I180</f>
        <v>8.6098360655737718</v>
      </c>
      <c r="K180" s="9"/>
      <c r="L180" s="17">
        <v>46063</v>
      </c>
      <c r="M180" s="9" t="s">
        <v>681</v>
      </c>
    </row>
    <row r="181" spans="1:13" x14ac:dyDescent="0.3">
      <c r="A181" s="5" t="s">
        <v>330</v>
      </c>
      <c r="B181" s="5" t="s">
        <v>274</v>
      </c>
      <c r="C181" s="5">
        <v>11320</v>
      </c>
      <c r="D181" s="6">
        <v>7.8290264900000004</v>
      </c>
      <c r="E181" s="7">
        <f t="shared" si="49"/>
        <v>88624.579866800006</v>
      </c>
      <c r="F181" s="5" t="s">
        <v>331</v>
      </c>
      <c r="G181" s="5" t="s">
        <v>9</v>
      </c>
      <c r="H181" s="6">
        <v>58180</v>
      </c>
      <c r="I181" s="8">
        <f t="shared" si="50"/>
        <v>4848.333333333333</v>
      </c>
      <c r="J181" s="6">
        <f t="shared" si="51"/>
        <v>2.3348229632176007</v>
      </c>
      <c r="K181" s="5"/>
      <c r="L181" s="5"/>
      <c r="M181" s="5"/>
    </row>
    <row r="182" spans="1:13" x14ac:dyDescent="0.3">
      <c r="A182" s="5" t="s">
        <v>332</v>
      </c>
      <c r="B182" s="5" t="s">
        <v>274</v>
      </c>
      <c r="C182" s="5">
        <v>970</v>
      </c>
      <c r="D182" s="6">
        <v>7.83</v>
      </c>
      <c r="E182" s="7">
        <f t="shared" si="49"/>
        <v>7595.1</v>
      </c>
      <c r="F182" s="5" t="s">
        <v>333</v>
      </c>
      <c r="G182" s="5" t="s">
        <v>9</v>
      </c>
      <c r="H182" s="6">
        <v>87730</v>
      </c>
      <c r="I182" s="8">
        <f t="shared" si="50"/>
        <v>7310.833333333333</v>
      </c>
      <c r="J182" s="6">
        <f t="shared" si="51"/>
        <v>0.13267981306280635</v>
      </c>
      <c r="K182" s="5"/>
      <c r="L182" s="5"/>
      <c r="M182" s="5"/>
    </row>
    <row r="183" spans="1:13" x14ac:dyDescent="0.3">
      <c r="A183" s="5" t="s">
        <v>334</v>
      </c>
      <c r="B183" s="5" t="s">
        <v>274</v>
      </c>
      <c r="C183" s="5">
        <v>1810</v>
      </c>
      <c r="D183" s="6">
        <v>9.6215118400000001</v>
      </c>
      <c r="E183" s="7">
        <f t="shared" si="49"/>
        <v>17414.936430400001</v>
      </c>
      <c r="F183" s="5" t="s">
        <v>335</v>
      </c>
      <c r="G183" s="5" t="s">
        <v>9</v>
      </c>
      <c r="H183" s="6">
        <v>755</v>
      </c>
      <c r="I183" s="8">
        <f>+H183/3</f>
        <v>251.66666666666666</v>
      </c>
      <c r="J183" s="6">
        <f t="shared" si="51"/>
        <v>7.1920529801324502</v>
      </c>
      <c r="K183" s="5"/>
      <c r="L183" s="18">
        <v>46063</v>
      </c>
      <c r="M183" s="5" t="s">
        <v>682</v>
      </c>
    </row>
    <row r="184" spans="1:13" x14ac:dyDescent="0.3">
      <c r="A184" s="5" t="s">
        <v>336</v>
      </c>
      <c r="B184" s="5" t="s">
        <v>274</v>
      </c>
      <c r="C184" s="5">
        <f>2900*5</f>
        <v>14500</v>
      </c>
      <c r="D184" s="6">
        <v>3.9260999999999999</v>
      </c>
      <c r="E184" s="7">
        <f t="shared" si="49"/>
        <v>56928.45</v>
      </c>
      <c r="F184" s="5" t="s">
        <v>337</v>
      </c>
      <c r="G184" s="5" t="s">
        <v>9</v>
      </c>
      <c r="H184" s="6">
        <v>34473</v>
      </c>
      <c r="I184" s="8">
        <f t="shared" si="50"/>
        <v>2872.75</v>
      </c>
      <c r="J184" s="6">
        <f t="shared" si="51"/>
        <v>5.0474284222434953</v>
      </c>
      <c r="K184" s="5"/>
      <c r="L184" s="5"/>
      <c r="M184" s="5"/>
    </row>
    <row r="185" spans="1:13" x14ac:dyDescent="0.3">
      <c r="A185" s="9" t="s">
        <v>336</v>
      </c>
      <c r="B185" s="9" t="s">
        <v>274</v>
      </c>
      <c r="C185" s="9">
        <f>41822-14500</f>
        <v>27322</v>
      </c>
      <c r="D185" s="10">
        <v>3.9260999999999999</v>
      </c>
      <c r="E185" s="11">
        <f t="shared" ref="E185" si="58">+C185*D185</f>
        <v>107268.9042</v>
      </c>
      <c r="F185" s="9" t="s">
        <v>337</v>
      </c>
      <c r="G185" s="9" t="s">
        <v>9</v>
      </c>
      <c r="H185" s="10">
        <v>34473</v>
      </c>
      <c r="I185" s="12">
        <f t="shared" si="50"/>
        <v>2872.75</v>
      </c>
      <c r="J185" s="10">
        <f t="shared" ref="J185" si="59">+C185/I185</f>
        <v>9.5107475415542595</v>
      </c>
      <c r="K185" s="9"/>
      <c r="L185" s="9"/>
      <c r="M185" s="9"/>
    </row>
    <row r="186" spans="1:13" x14ac:dyDescent="0.3">
      <c r="A186" s="5" t="s">
        <v>338</v>
      </c>
      <c r="B186" s="5" t="s">
        <v>274</v>
      </c>
      <c r="C186" s="5">
        <v>24286</v>
      </c>
      <c r="D186" s="6">
        <v>4.1534029600000002</v>
      </c>
      <c r="E186" s="7">
        <f t="shared" si="49"/>
        <v>100869.54428656001</v>
      </c>
      <c r="F186" s="5" t="s">
        <v>339</v>
      </c>
      <c r="G186" s="5" t="s">
        <v>9</v>
      </c>
      <c r="H186" s="6">
        <v>82679</v>
      </c>
      <c r="I186" s="8">
        <f t="shared" si="50"/>
        <v>6889.916666666667</v>
      </c>
      <c r="J186" s="6">
        <f t="shared" si="51"/>
        <v>3.5248612102226682</v>
      </c>
      <c r="K186" s="5"/>
      <c r="L186" s="5"/>
      <c r="M186" s="5"/>
    </row>
    <row r="187" spans="1:13" x14ac:dyDescent="0.3">
      <c r="A187" s="5" t="s">
        <v>340</v>
      </c>
      <c r="B187" s="5" t="s">
        <v>274</v>
      </c>
      <c r="C187" s="5">
        <v>59463</v>
      </c>
      <c r="D187" s="6">
        <v>4.17</v>
      </c>
      <c r="E187" s="7">
        <f t="shared" si="49"/>
        <v>247960.71</v>
      </c>
      <c r="F187" s="5" t="s">
        <v>341</v>
      </c>
      <c r="G187" s="5" t="s">
        <v>9</v>
      </c>
      <c r="H187" s="6">
        <v>1130537</v>
      </c>
      <c r="I187" s="8">
        <f t="shared" si="50"/>
        <v>94211.416666666672</v>
      </c>
      <c r="J187" s="6">
        <f t="shared" si="51"/>
        <v>0.63116554345412845</v>
      </c>
      <c r="K187" s="5"/>
      <c r="L187" s="5"/>
      <c r="M187" s="5"/>
    </row>
    <row r="188" spans="1:13" x14ac:dyDescent="0.3">
      <c r="A188" s="5" t="s">
        <v>342</v>
      </c>
      <c r="B188" s="5" t="s">
        <v>274</v>
      </c>
      <c r="C188" s="5">
        <v>1592</v>
      </c>
      <c r="D188" s="6">
        <v>15.78</v>
      </c>
      <c r="E188" s="7">
        <f t="shared" si="49"/>
        <v>25121.759999999998</v>
      </c>
      <c r="F188" s="5" t="s">
        <v>343</v>
      </c>
      <c r="G188" s="5" t="s">
        <v>9</v>
      </c>
      <c r="H188" s="6">
        <v>22808</v>
      </c>
      <c r="I188" s="8">
        <f t="shared" si="50"/>
        <v>1900.6666666666667</v>
      </c>
      <c r="J188" s="6">
        <f t="shared" si="51"/>
        <v>0.83760084180989125</v>
      </c>
      <c r="K188" s="5"/>
      <c r="L188" s="5"/>
      <c r="M188" s="5"/>
    </row>
    <row r="189" spans="1:13" x14ac:dyDescent="0.3">
      <c r="A189" s="9" t="s">
        <v>344</v>
      </c>
      <c r="B189" s="9" t="s">
        <v>274</v>
      </c>
      <c r="C189" s="9">
        <v>45</v>
      </c>
      <c r="D189" s="10">
        <v>4.8499999999999996</v>
      </c>
      <c r="E189" s="11">
        <f t="shared" si="49"/>
        <v>218.24999999999997</v>
      </c>
      <c r="F189" s="9" t="s">
        <v>345</v>
      </c>
      <c r="G189" s="9" t="s">
        <v>9</v>
      </c>
      <c r="H189" s="10">
        <v>10</v>
      </c>
      <c r="I189" s="12">
        <f t="shared" si="50"/>
        <v>0.83333333333333337</v>
      </c>
      <c r="J189" s="10">
        <f t="shared" si="51"/>
        <v>54</v>
      </c>
      <c r="K189" s="9"/>
      <c r="L189" s="9"/>
      <c r="M189" s="9"/>
    </row>
    <row r="190" spans="1:13" x14ac:dyDescent="0.3">
      <c r="A190" s="13" t="s">
        <v>346</v>
      </c>
      <c r="B190" s="13" t="s">
        <v>347</v>
      </c>
      <c r="C190" s="13">
        <v>1</v>
      </c>
      <c r="D190" s="14">
        <v>392.94</v>
      </c>
      <c r="E190" s="15">
        <f t="shared" si="49"/>
        <v>392.94</v>
      </c>
      <c r="F190" s="13" t="s">
        <v>348</v>
      </c>
      <c r="G190" s="13" t="s">
        <v>9</v>
      </c>
      <c r="H190" s="14">
        <v>0</v>
      </c>
      <c r="I190" s="16">
        <f t="shared" si="50"/>
        <v>0</v>
      </c>
      <c r="J190" s="14" t="e">
        <f t="shared" si="51"/>
        <v>#DIV/0!</v>
      </c>
      <c r="K190" s="13"/>
      <c r="L190" s="13"/>
      <c r="M190" s="13"/>
    </row>
    <row r="191" spans="1:13" x14ac:dyDescent="0.3">
      <c r="A191" s="9" t="s">
        <v>349</v>
      </c>
      <c r="B191" s="9" t="s">
        <v>347</v>
      </c>
      <c r="C191" s="9">
        <v>1</v>
      </c>
      <c r="D191" s="10">
        <v>700.43</v>
      </c>
      <c r="E191" s="11">
        <f t="shared" si="49"/>
        <v>700.43</v>
      </c>
      <c r="F191" s="9" t="s">
        <v>350</v>
      </c>
      <c r="G191" s="9" t="s">
        <v>9</v>
      </c>
      <c r="H191" s="10">
        <v>1</v>
      </c>
      <c r="I191" s="12">
        <f t="shared" si="50"/>
        <v>8.3333333333333329E-2</v>
      </c>
      <c r="J191" s="10">
        <f t="shared" si="51"/>
        <v>12</v>
      </c>
      <c r="K191" s="9"/>
      <c r="L191" s="9"/>
      <c r="M191" s="9"/>
    </row>
    <row r="192" spans="1:13" x14ac:dyDescent="0.3">
      <c r="A192" s="5" t="s">
        <v>351</v>
      </c>
      <c r="B192" s="5" t="s">
        <v>347</v>
      </c>
      <c r="C192" s="5">
        <v>1</v>
      </c>
      <c r="D192" s="6">
        <v>734.05</v>
      </c>
      <c r="E192" s="7">
        <f t="shared" si="49"/>
        <v>734.05</v>
      </c>
      <c r="F192" s="5" t="s">
        <v>352</v>
      </c>
      <c r="G192" s="5" t="s">
        <v>9</v>
      </c>
      <c r="H192" s="6">
        <v>6</v>
      </c>
      <c r="I192" s="8">
        <f t="shared" si="50"/>
        <v>0.5</v>
      </c>
      <c r="J192" s="6">
        <f t="shared" si="51"/>
        <v>2</v>
      </c>
      <c r="K192" s="5"/>
      <c r="L192" s="5"/>
      <c r="M192" s="5"/>
    </row>
    <row r="193" spans="1:13" x14ac:dyDescent="0.3">
      <c r="A193" s="9" t="s">
        <v>353</v>
      </c>
      <c r="B193" s="9" t="s">
        <v>347</v>
      </c>
      <c r="C193" s="9">
        <v>1</v>
      </c>
      <c r="D193" s="10">
        <v>734.05</v>
      </c>
      <c r="E193" s="11">
        <f t="shared" si="49"/>
        <v>734.05</v>
      </c>
      <c r="F193" s="9" t="s">
        <v>354</v>
      </c>
      <c r="G193" s="9" t="s">
        <v>9</v>
      </c>
      <c r="H193" s="10">
        <v>1</v>
      </c>
      <c r="I193" s="12">
        <f t="shared" si="50"/>
        <v>8.3333333333333329E-2</v>
      </c>
      <c r="J193" s="10">
        <f t="shared" si="51"/>
        <v>12</v>
      </c>
      <c r="K193" s="9"/>
      <c r="L193" s="9"/>
      <c r="M193" s="9"/>
    </row>
    <row r="194" spans="1:13" x14ac:dyDescent="0.3">
      <c r="A194" s="5" t="s">
        <v>355</v>
      </c>
      <c r="B194" s="5" t="s">
        <v>347</v>
      </c>
      <c r="C194" s="5">
        <v>1</v>
      </c>
      <c r="D194" s="6">
        <v>941.38</v>
      </c>
      <c r="E194" s="7">
        <f t="shared" si="49"/>
        <v>941.38</v>
      </c>
      <c r="F194" s="5" t="s">
        <v>356</v>
      </c>
      <c r="G194" s="5" t="s">
        <v>9</v>
      </c>
      <c r="H194" s="6">
        <v>3</v>
      </c>
      <c r="I194" s="8">
        <f t="shared" si="50"/>
        <v>0.25</v>
      </c>
      <c r="J194" s="6">
        <f t="shared" si="51"/>
        <v>4</v>
      </c>
      <c r="K194" s="5"/>
      <c r="L194" s="5"/>
      <c r="M194" s="5"/>
    </row>
    <row r="195" spans="1:13" x14ac:dyDescent="0.3">
      <c r="A195" s="5" t="s">
        <v>357</v>
      </c>
      <c r="B195" s="5" t="s">
        <v>347</v>
      </c>
      <c r="C195" s="5">
        <v>1</v>
      </c>
      <c r="D195" s="6">
        <v>930.17</v>
      </c>
      <c r="E195" s="7">
        <f t="shared" si="49"/>
        <v>930.17</v>
      </c>
      <c r="F195" s="5" t="s">
        <v>358</v>
      </c>
      <c r="G195" s="5" t="s">
        <v>9</v>
      </c>
      <c r="H195" s="6">
        <v>6</v>
      </c>
      <c r="I195" s="8">
        <f t="shared" si="50"/>
        <v>0.5</v>
      </c>
      <c r="J195" s="6">
        <f t="shared" si="51"/>
        <v>2</v>
      </c>
      <c r="K195" s="5"/>
      <c r="L195" s="5"/>
      <c r="M195" s="5"/>
    </row>
    <row r="196" spans="1:13" x14ac:dyDescent="0.3">
      <c r="A196" s="5" t="s">
        <v>359</v>
      </c>
      <c r="B196" s="5" t="s">
        <v>347</v>
      </c>
      <c r="C196" s="5">
        <v>1</v>
      </c>
      <c r="D196" s="6">
        <v>1400.86</v>
      </c>
      <c r="E196" s="7">
        <f t="shared" si="49"/>
        <v>1400.86</v>
      </c>
      <c r="F196" s="5" t="s">
        <v>360</v>
      </c>
      <c r="G196" s="5" t="s">
        <v>9</v>
      </c>
      <c r="H196" s="6">
        <v>2</v>
      </c>
      <c r="I196" s="8">
        <f t="shared" si="50"/>
        <v>0.16666666666666666</v>
      </c>
      <c r="J196" s="6">
        <f t="shared" si="51"/>
        <v>6</v>
      </c>
      <c r="K196" s="5"/>
      <c r="L196" s="5"/>
      <c r="M196" s="5"/>
    </row>
    <row r="197" spans="1:13" x14ac:dyDescent="0.3">
      <c r="A197" s="5" t="s">
        <v>361</v>
      </c>
      <c r="B197" s="5" t="s">
        <v>347</v>
      </c>
      <c r="C197" s="5">
        <v>1</v>
      </c>
      <c r="D197" s="6">
        <v>369.83</v>
      </c>
      <c r="E197" s="7">
        <f t="shared" si="49"/>
        <v>369.83</v>
      </c>
      <c r="F197" s="5" t="s">
        <v>362</v>
      </c>
      <c r="G197" s="5" t="s">
        <v>9</v>
      </c>
      <c r="H197" s="6">
        <v>10</v>
      </c>
      <c r="I197" s="8">
        <f t="shared" si="50"/>
        <v>0.83333333333333337</v>
      </c>
      <c r="J197" s="6">
        <f t="shared" si="51"/>
        <v>1.2</v>
      </c>
      <c r="K197" s="5"/>
      <c r="L197" s="5"/>
      <c r="M197" s="5"/>
    </row>
    <row r="198" spans="1:13" x14ac:dyDescent="0.3">
      <c r="A198" s="5" t="s">
        <v>363</v>
      </c>
      <c r="B198" s="5" t="s">
        <v>347</v>
      </c>
      <c r="C198" s="5">
        <v>1</v>
      </c>
      <c r="D198" s="6">
        <v>459.48</v>
      </c>
      <c r="E198" s="7">
        <f t="shared" si="49"/>
        <v>459.48</v>
      </c>
      <c r="F198" s="5" t="s">
        <v>364</v>
      </c>
      <c r="G198" s="5" t="s">
        <v>9</v>
      </c>
      <c r="H198" s="6">
        <v>2</v>
      </c>
      <c r="I198" s="8">
        <f t="shared" si="50"/>
        <v>0.16666666666666666</v>
      </c>
      <c r="J198" s="6">
        <f t="shared" si="51"/>
        <v>6</v>
      </c>
      <c r="K198" s="5"/>
      <c r="L198" s="5"/>
      <c r="M198" s="5"/>
    </row>
    <row r="199" spans="1:13" x14ac:dyDescent="0.3">
      <c r="A199" s="5" t="s">
        <v>365</v>
      </c>
      <c r="B199" s="5" t="s">
        <v>347</v>
      </c>
      <c r="C199" s="5">
        <v>1</v>
      </c>
      <c r="D199" s="6">
        <v>465.09</v>
      </c>
      <c r="E199" s="7">
        <f t="shared" si="49"/>
        <v>465.09</v>
      </c>
      <c r="F199" s="5" t="s">
        <v>366</v>
      </c>
      <c r="G199" s="5" t="s">
        <v>9</v>
      </c>
      <c r="H199" s="6">
        <v>9</v>
      </c>
      <c r="I199" s="8">
        <f t="shared" si="50"/>
        <v>0.75</v>
      </c>
      <c r="J199" s="6">
        <f t="shared" si="51"/>
        <v>1.3333333333333333</v>
      </c>
      <c r="K199" s="5"/>
      <c r="L199" s="5"/>
      <c r="M199" s="5"/>
    </row>
    <row r="200" spans="1:13" x14ac:dyDescent="0.3">
      <c r="A200" s="5" t="s">
        <v>367</v>
      </c>
      <c r="B200" s="5" t="s">
        <v>368</v>
      </c>
      <c r="C200" s="5">
        <v>5</v>
      </c>
      <c r="D200" s="6">
        <v>12917.434999999999</v>
      </c>
      <c r="E200" s="7">
        <f t="shared" si="49"/>
        <v>64587.174999999996</v>
      </c>
      <c r="F200" s="5" t="s">
        <v>369</v>
      </c>
      <c r="G200" s="5" t="s">
        <v>9</v>
      </c>
      <c r="H200" s="6">
        <v>5</v>
      </c>
      <c r="I200" s="8">
        <f>+H200/5</f>
        <v>1</v>
      </c>
      <c r="J200" s="6">
        <f t="shared" si="51"/>
        <v>5</v>
      </c>
      <c r="K200" s="5"/>
      <c r="L200" s="18">
        <v>45930</v>
      </c>
      <c r="M200" s="5" t="s">
        <v>673</v>
      </c>
    </row>
    <row r="201" spans="1:13" x14ac:dyDescent="0.3">
      <c r="A201" s="5" t="s">
        <v>370</v>
      </c>
      <c r="B201" s="5" t="s">
        <v>368</v>
      </c>
      <c r="C201" s="5">
        <v>16</v>
      </c>
      <c r="D201" s="6">
        <v>722.64649999999995</v>
      </c>
      <c r="E201" s="7">
        <f t="shared" si="49"/>
        <v>11562.343999999999</v>
      </c>
      <c r="F201" s="5" t="s">
        <v>371</v>
      </c>
      <c r="G201" s="5" t="s">
        <v>9</v>
      </c>
      <c r="H201" s="6">
        <v>4</v>
      </c>
      <c r="I201" s="8">
        <f>+H201/3</f>
        <v>1.3333333333333333</v>
      </c>
      <c r="J201" s="6">
        <f t="shared" si="51"/>
        <v>12</v>
      </c>
      <c r="K201" s="5"/>
      <c r="L201" s="5"/>
      <c r="M201" s="5" t="s">
        <v>673</v>
      </c>
    </row>
    <row r="202" spans="1:13" x14ac:dyDescent="0.3">
      <c r="A202" s="5" t="s">
        <v>372</v>
      </c>
      <c r="B202" s="5" t="s">
        <v>368</v>
      </c>
      <c r="C202" s="5">
        <v>5</v>
      </c>
      <c r="D202" s="6">
        <v>3609.4650000000001</v>
      </c>
      <c r="E202" s="7">
        <f t="shared" si="49"/>
        <v>18047.325000000001</v>
      </c>
      <c r="F202" s="5" t="s">
        <v>373</v>
      </c>
      <c r="G202" s="5" t="s">
        <v>9</v>
      </c>
      <c r="H202" s="6">
        <v>6</v>
      </c>
      <c r="I202" s="8">
        <f t="shared" si="50"/>
        <v>0.5</v>
      </c>
      <c r="J202" s="6">
        <f t="shared" si="51"/>
        <v>10</v>
      </c>
      <c r="K202" s="5"/>
      <c r="L202" s="5"/>
      <c r="M202" s="5"/>
    </row>
    <row r="203" spans="1:13" x14ac:dyDescent="0.3">
      <c r="A203" s="5" t="s">
        <v>374</v>
      </c>
      <c r="B203" s="5" t="s">
        <v>368</v>
      </c>
      <c r="C203" s="5">
        <v>1</v>
      </c>
      <c r="D203" s="6">
        <v>5657.9742712099996</v>
      </c>
      <c r="E203" s="7">
        <f t="shared" si="49"/>
        <v>5657.9742712099996</v>
      </c>
      <c r="F203" s="5" t="s">
        <v>375</v>
      </c>
      <c r="G203" s="5" t="s">
        <v>9</v>
      </c>
      <c r="H203" s="6">
        <v>1</v>
      </c>
      <c r="I203" s="8">
        <f t="shared" si="50"/>
        <v>8.3333333333333329E-2</v>
      </c>
      <c r="J203" s="6">
        <f t="shared" si="51"/>
        <v>12</v>
      </c>
      <c r="K203" s="5"/>
      <c r="L203" s="5"/>
      <c r="M203" s="5"/>
    </row>
    <row r="204" spans="1:13" x14ac:dyDescent="0.3">
      <c r="A204" s="5" t="s">
        <v>376</v>
      </c>
      <c r="B204" s="5" t="s">
        <v>368</v>
      </c>
      <c r="C204" s="5">
        <v>29</v>
      </c>
      <c r="D204" s="6">
        <v>5569.2191378500002</v>
      </c>
      <c r="E204" s="7">
        <f t="shared" si="49"/>
        <v>161507.35499764999</v>
      </c>
      <c r="F204" s="5" t="s">
        <v>377</v>
      </c>
      <c r="G204" s="5" t="s">
        <v>9</v>
      </c>
      <c r="H204" s="6">
        <v>130</v>
      </c>
      <c r="I204" s="8">
        <f t="shared" si="50"/>
        <v>10.833333333333334</v>
      </c>
      <c r="J204" s="6">
        <f t="shared" si="51"/>
        <v>2.6769230769230767</v>
      </c>
      <c r="K204" s="5"/>
      <c r="L204" s="5"/>
      <c r="M204" s="5"/>
    </row>
    <row r="205" spans="1:13" x14ac:dyDescent="0.3">
      <c r="A205" s="9" t="s">
        <v>378</v>
      </c>
      <c r="B205" s="9" t="s">
        <v>368</v>
      </c>
      <c r="C205" s="9">
        <v>3</v>
      </c>
      <c r="D205" s="10">
        <v>23130.023700000002</v>
      </c>
      <c r="E205" s="11">
        <f t="shared" si="49"/>
        <v>69390.071100000001</v>
      </c>
      <c r="F205" s="9" t="s">
        <v>379</v>
      </c>
      <c r="G205" s="9" t="s">
        <v>9</v>
      </c>
      <c r="H205" s="10">
        <v>0</v>
      </c>
      <c r="I205" s="12">
        <f t="shared" si="50"/>
        <v>0</v>
      </c>
      <c r="J205" s="10" t="e">
        <f t="shared" si="51"/>
        <v>#DIV/0!</v>
      </c>
      <c r="K205" s="9"/>
      <c r="L205" s="9"/>
      <c r="M205" s="9" t="s">
        <v>674</v>
      </c>
    </row>
    <row r="206" spans="1:13" x14ac:dyDescent="0.3">
      <c r="A206" s="5" t="s">
        <v>380</v>
      </c>
      <c r="B206" s="5" t="s">
        <v>368</v>
      </c>
      <c r="C206" s="5">
        <v>7</v>
      </c>
      <c r="D206" s="6">
        <v>1107</v>
      </c>
      <c r="E206" s="7">
        <f t="shared" si="49"/>
        <v>7749</v>
      </c>
      <c r="F206" s="5" t="s">
        <v>381</v>
      </c>
      <c r="G206" s="5" t="s">
        <v>9</v>
      </c>
      <c r="H206" s="6">
        <v>0</v>
      </c>
      <c r="I206" s="8">
        <f t="shared" si="50"/>
        <v>0</v>
      </c>
      <c r="J206" s="6" t="e">
        <f t="shared" si="51"/>
        <v>#DIV/0!</v>
      </c>
      <c r="K206" s="5"/>
      <c r="L206" s="5"/>
      <c r="M206" s="5" t="s">
        <v>676</v>
      </c>
    </row>
    <row r="207" spans="1:13" x14ac:dyDescent="0.3">
      <c r="A207" s="5" t="s">
        <v>382</v>
      </c>
      <c r="B207" s="5" t="s">
        <v>368</v>
      </c>
      <c r="C207" s="5">
        <v>9</v>
      </c>
      <c r="D207" s="6">
        <v>21.254999999999999</v>
      </c>
      <c r="E207" s="7">
        <f t="shared" si="49"/>
        <v>191.29499999999999</v>
      </c>
      <c r="F207" s="5" t="s">
        <v>383</v>
      </c>
      <c r="G207" s="5" t="s">
        <v>9</v>
      </c>
      <c r="H207" s="6">
        <v>0</v>
      </c>
      <c r="I207" s="8">
        <f t="shared" si="50"/>
        <v>0</v>
      </c>
      <c r="J207" s="6" t="e">
        <f t="shared" si="51"/>
        <v>#DIV/0!</v>
      </c>
      <c r="K207" s="5"/>
      <c r="L207" s="5"/>
      <c r="M207" s="5" t="s">
        <v>676</v>
      </c>
    </row>
    <row r="208" spans="1:13" x14ac:dyDescent="0.3">
      <c r="A208" s="5" t="s">
        <v>384</v>
      </c>
      <c r="B208" s="5" t="s">
        <v>368</v>
      </c>
      <c r="C208" s="5">
        <v>14</v>
      </c>
      <c r="D208" s="6">
        <v>2234.5</v>
      </c>
      <c r="E208" s="7">
        <f t="shared" si="49"/>
        <v>31283</v>
      </c>
      <c r="F208" s="5" t="s">
        <v>385</v>
      </c>
      <c r="G208" s="5" t="s">
        <v>9</v>
      </c>
      <c r="H208" s="6">
        <v>16</v>
      </c>
      <c r="I208" s="8">
        <f t="shared" si="50"/>
        <v>1.3333333333333333</v>
      </c>
      <c r="J208" s="6">
        <f t="shared" si="51"/>
        <v>10.5</v>
      </c>
      <c r="K208" s="5"/>
      <c r="L208" s="5"/>
      <c r="M208" s="5" t="s">
        <v>676</v>
      </c>
    </row>
    <row r="209" spans="1:13" x14ac:dyDescent="0.3">
      <c r="A209" s="5" t="s">
        <v>386</v>
      </c>
      <c r="B209" s="5" t="s">
        <v>368</v>
      </c>
      <c r="C209" s="5">
        <v>9</v>
      </c>
      <c r="D209" s="6">
        <v>1107</v>
      </c>
      <c r="E209" s="7">
        <f t="shared" si="49"/>
        <v>9963</v>
      </c>
      <c r="F209" s="5" t="s">
        <v>387</v>
      </c>
      <c r="G209" s="5" t="s">
        <v>9</v>
      </c>
      <c r="H209" s="6">
        <v>1</v>
      </c>
      <c r="I209" s="8">
        <f t="shared" si="50"/>
        <v>8.3333333333333329E-2</v>
      </c>
      <c r="J209" s="6">
        <f t="shared" si="51"/>
        <v>108</v>
      </c>
      <c r="K209" s="5"/>
      <c r="L209" s="5"/>
      <c r="M209" s="5" t="s">
        <v>676</v>
      </c>
    </row>
    <row r="210" spans="1:13" x14ac:dyDescent="0.3">
      <c r="A210" s="5" t="s">
        <v>388</v>
      </c>
      <c r="B210" s="5" t="s">
        <v>368</v>
      </c>
      <c r="C210" s="5">
        <v>9</v>
      </c>
      <c r="D210" s="6">
        <v>2575.0754545499999</v>
      </c>
      <c r="E210" s="7">
        <f t="shared" si="49"/>
        <v>23175.679090949998</v>
      </c>
      <c r="F210" s="5" t="s">
        <v>389</v>
      </c>
      <c r="G210" s="5" t="s">
        <v>9</v>
      </c>
      <c r="H210" s="6">
        <v>20</v>
      </c>
      <c r="I210" s="8">
        <f t="shared" si="50"/>
        <v>1.6666666666666667</v>
      </c>
      <c r="J210" s="6">
        <f t="shared" si="51"/>
        <v>5.3999999999999995</v>
      </c>
      <c r="K210" s="5"/>
      <c r="L210" s="5"/>
      <c r="M210" s="5"/>
    </row>
    <row r="211" spans="1:13" x14ac:dyDescent="0.3">
      <c r="A211" s="5" t="s">
        <v>390</v>
      </c>
      <c r="B211" s="5" t="s">
        <v>368</v>
      </c>
      <c r="C211" s="5">
        <v>4</v>
      </c>
      <c r="D211" s="6">
        <v>2220.9499999999998</v>
      </c>
      <c r="E211" s="7">
        <f t="shared" si="49"/>
        <v>8883.7999999999993</v>
      </c>
      <c r="F211" s="5" t="s">
        <v>391</v>
      </c>
      <c r="G211" s="5" t="s">
        <v>9</v>
      </c>
      <c r="H211" s="6">
        <v>52</v>
      </c>
      <c r="I211" s="8">
        <f t="shared" si="50"/>
        <v>4.333333333333333</v>
      </c>
      <c r="J211" s="6">
        <f t="shared" si="51"/>
        <v>0.92307692307692313</v>
      </c>
      <c r="K211" s="5"/>
      <c r="L211" s="5"/>
      <c r="M211" s="5"/>
    </row>
    <row r="212" spans="1:13" x14ac:dyDescent="0.3">
      <c r="A212" s="5" t="s">
        <v>392</v>
      </c>
      <c r="B212" s="5" t="s">
        <v>368</v>
      </c>
      <c r="C212" s="5">
        <v>21</v>
      </c>
      <c r="D212" s="6">
        <v>15032.712900979999</v>
      </c>
      <c r="E212" s="7">
        <f t="shared" si="49"/>
        <v>315686.97092057997</v>
      </c>
      <c r="F212" s="5" t="s">
        <v>393</v>
      </c>
      <c r="G212" s="5" t="s">
        <v>9</v>
      </c>
      <c r="H212" s="6">
        <v>35</v>
      </c>
      <c r="I212" s="8">
        <f>+H212/8.5</f>
        <v>4.117647058823529</v>
      </c>
      <c r="J212" s="6">
        <f t="shared" si="51"/>
        <v>5.1000000000000005</v>
      </c>
      <c r="K212" s="5"/>
      <c r="L212" s="5"/>
      <c r="M212" s="5"/>
    </row>
    <row r="213" spans="1:13" x14ac:dyDescent="0.3">
      <c r="A213" s="9" t="s">
        <v>392</v>
      </c>
      <c r="B213" s="9" t="s">
        <v>368</v>
      </c>
      <c r="C213" s="9">
        <f>20+15-21</f>
        <v>14</v>
      </c>
      <c r="D213" s="10">
        <v>15032.712900979999</v>
      </c>
      <c r="E213" s="11">
        <f t="shared" ref="E213" si="60">+C213*D213</f>
        <v>210457.98061371999</v>
      </c>
      <c r="F213" s="9" t="s">
        <v>393</v>
      </c>
      <c r="G213" s="9" t="s">
        <v>9</v>
      </c>
      <c r="H213" s="10">
        <v>35</v>
      </c>
      <c r="I213" s="12">
        <f>+H213/8.5</f>
        <v>4.117647058823529</v>
      </c>
      <c r="J213" s="10">
        <f t="shared" ref="J213" si="61">+C213/I213</f>
        <v>3.4000000000000004</v>
      </c>
      <c r="K213" s="9"/>
      <c r="L213" s="9"/>
      <c r="M213" s="9"/>
    </row>
    <row r="214" spans="1:13" x14ac:dyDescent="0.3">
      <c r="A214" s="5" t="s">
        <v>394</v>
      </c>
      <c r="B214" s="5" t="s">
        <v>368</v>
      </c>
      <c r="C214" s="5">
        <v>1</v>
      </c>
      <c r="D214" s="6">
        <v>16851.948799999998</v>
      </c>
      <c r="E214" s="7">
        <f t="shared" si="49"/>
        <v>16851.948799999998</v>
      </c>
      <c r="F214" s="5" t="s">
        <v>395</v>
      </c>
      <c r="G214" s="5" t="s">
        <v>9</v>
      </c>
      <c r="H214" s="6">
        <v>2</v>
      </c>
      <c r="I214" s="8">
        <f>+H214/0.1</f>
        <v>20</v>
      </c>
      <c r="J214" s="6">
        <f t="shared" si="51"/>
        <v>0.05</v>
      </c>
      <c r="K214" s="5"/>
      <c r="L214" s="5"/>
      <c r="M214" s="5"/>
    </row>
    <row r="215" spans="1:13" x14ac:dyDescent="0.3">
      <c r="A215" s="5" t="s">
        <v>396</v>
      </c>
      <c r="B215" s="5" t="s">
        <v>368</v>
      </c>
      <c r="C215" s="5">
        <v>1</v>
      </c>
      <c r="D215" s="6">
        <v>17629.731</v>
      </c>
      <c r="E215" s="7">
        <f t="shared" si="49"/>
        <v>17629.731</v>
      </c>
      <c r="F215" s="5" t="s">
        <v>397</v>
      </c>
      <c r="G215" s="5" t="s">
        <v>9</v>
      </c>
      <c r="H215" s="6">
        <v>5</v>
      </c>
      <c r="I215" s="8">
        <f>+H215/2</f>
        <v>2.5</v>
      </c>
      <c r="J215" s="6">
        <f t="shared" si="51"/>
        <v>0.4</v>
      </c>
      <c r="K215" s="5"/>
      <c r="L215" s="5"/>
      <c r="M215" s="5"/>
    </row>
    <row r="216" spans="1:13" x14ac:dyDescent="0.3">
      <c r="A216" s="13" t="s">
        <v>398</v>
      </c>
      <c r="B216" s="13" t="s">
        <v>399</v>
      </c>
      <c r="C216" s="13">
        <v>1</v>
      </c>
      <c r="D216" s="14">
        <v>1858.45815416</v>
      </c>
      <c r="E216" s="15">
        <f t="shared" si="49"/>
        <v>1858.45815416</v>
      </c>
      <c r="F216" s="13" t="s">
        <v>400</v>
      </c>
      <c r="G216" s="13" t="s">
        <v>9</v>
      </c>
      <c r="H216" s="14">
        <v>0</v>
      </c>
      <c r="I216" s="16">
        <f t="shared" si="50"/>
        <v>0</v>
      </c>
      <c r="J216" s="14" t="e">
        <f t="shared" si="51"/>
        <v>#DIV/0!</v>
      </c>
      <c r="K216" s="13"/>
      <c r="L216" s="13"/>
      <c r="M216" s="13"/>
    </row>
    <row r="217" spans="1:13" x14ac:dyDescent="0.3">
      <c r="A217" s="13" t="s">
        <v>401</v>
      </c>
      <c r="B217" s="13" t="s">
        <v>402</v>
      </c>
      <c r="C217" s="13">
        <v>5</v>
      </c>
      <c r="D217" s="14">
        <v>57</v>
      </c>
      <c r="E217" s="15">
        <f t="shared" si="49"/>
        <v>285</v>
      </c>
      <c r="F217" s="13" t="s">
        <v>403</v>
      </c>
      <c r="G217" s="13" t="s">
        <v>9</v>
      </c>
      <c r="H217" s="14">
        <v>0</v>
      </c>
      <c r="I217" s="16">
        <f t="shared" si="50"/>
        <v>0</v>
      </c>
      <c r="J217" s="14" t="e">
        <f t="shared" si="51"/>
        <v>#DIV/0!</v>
      </c>
      <c r="K217" s="13"/>
      <c r="L217" s="13"/>
      <c r="M217" s="13"/>
    </row>
    <row r="218" spans="1:13" x14ac:dyDescent="0.3">
      <c r="A218" s="5" t="s">
        <v>404</v>
      </c>
      <c r="B218" s="5" t="s">
        <v>402</v>
      </c>
      <c r="C218" s="5">
        <v>4</v>
      </c>
      <c r="D218" s="6">
        <v>143.1</v>
      </c>
      <c r="E218" s="7">
        <f t="shared" si="49"/>
        <v>572.4</v>
      </c>
      <c r="F218" s="5" t="s">
        <v>405</v>
      </c>
      <c r="G218" s="5" t="s">
        <v>9</v>
      </c>
      <c r="H218" s="6">
        <v>38</v>
      </c>
      <c r="I218" s="8">
        <f t="shared" si="50"/>
        <v>3.1666666666666665</v>
      </c>
      <c r="J218" s="6">
        <f t="shared" si="51"/>
        <v>1.2631578947368423</v>
      </c>
      <c r="K218" s="5"/>
      <c r="L218" s="5"/>
      <c r="M218" s="5"/>
    </row>
    <row r="219" spans="1:13" x14ac:dyDescent="0.3">
      <c r="A219" s="5" t="s">
        <v>406</v>
      </c>
      <c r="B219" s="5" t="s">
        <v>402</v>
      </c>
      <c r="C219" s="5">
        <v>4</v>
      </c>
      <c r="D219" s="6">
        <v>143.10079999999999</v>
      </c>
      <c r="E219" s="7">
        <f t="shared" si="49"/>
        <v>572.40319999999997</v>
      </c>
      <c r="F219" s="5" t="s">
        <v>407</v>
      </c>
      <c r="G219" s="5" t="s">
        <v>9</v>
      </c>
      <c r="H219" s="6">
        <v>9</v>
      </c>
      <c r="I219" s="8">
        <f t="shared" si="50"/>
        <v>0.75</v>
      </c>
      <c r="J219" s="6">
        <f t="shared" si="51"/>
        <v>5.333333333333333</v>
      </c>
      <c r="K219" s="5"/>
      <c r="L219" s="5"/>
      <c r="M219" s="5"/>
    </row>
    <row r="220" spans="1:13" x14ac:dyDescent="0.3">
      <c r="A220" s="9" t="s">
        <v>406</v>
      </c>
      <c r="B220" s="9" t="s">
        <v>402</v>
      </c>
      <c r="C220" s="9">
        <f>9-4</f>
        <v>5</v>
      </c>
      <c r="D220" s="10">
        <v>143.10079999999999</v>
      </c>
      <c r="E220" s="11">
        <f t="shared" ref="E220" si="62">+C220*D220</f>
        <v>715.50399999999991</v>
      </c>
      <c r="F220" s="9" t="s">
        <v>407</v>
      </c>
      <c r="G220" s="9" t="s">
        <v>9</v>
      </c>
      <c r="H220" s="10">
        <v>9</v>
      </c>
      <c r="I220" s="12">
        <f t="shared" si="50"/>
        <v>0.75</v>
      </c>
      <c r="J220" s="10">
        <f t="shared" ref="J220" si="63">+C220/I220</f>
        <v>6.666666666666667</v>
      </c>
      <c r="K220" s="9"/>
      <c r="L220" s="9"/>
      <c r="M220" s="9"/>
    </row>
    <row r="221" spans="1:13" x14ac:dyDescent="0.3">
      <c r="A221" s="5" t="s">
        <v>408</v>
      </c>
      <c r="B221" s="5" t="s">
        <v>402</v>
      </c>
      <c r="C221" s="5">
        <v>8</v>
      </c>
      <c r="D221" s="6">
        <v>45.689599999999999</v>
      </c>
      <c r="E221" s="7">
        <f t="shared" ref="E221:E291" si="64">+C221*D221</f>
        <v>365.51679999999999</v>
      </c>
      <c r="F221" s="5" t="s">
        <v>409</v>
      </c>
      <c r="G221" s="5" t="s">
        <v>9</v>
      </c>
      <c r="H221" s="6">
        <v>16</v>
      </c>
      <c r="I221" s="8">
        <f t="shared" ref="I221:I291" si="65">+H221/12</f>
        <v>1.3333333333333333</v>
      </c>
      <c r="J221" s="6">
        <f t="shared" ref="J221:J291" si="66">+C221/I221</f>
        <v>6</v>
      </c>
      <c r="K221" s="5"/>
      <c r="L221" s="5"/>
      <c r="M221" s="5"/>
    </row>
    <row r="222" spans="1:13" x14ac:dyDescent="0.3">
      <c r="A222" s="5" t="s">
        <v>410</v>
      </c>
      <c r="B222" s="5" t="s">
        <v>402</v>
      </c>
      <c r="C222" s="5">
        <v>7</v>
      </c>
      <c r="D222" s="6">
        <v>37.930999999999997</v>
      </c>
      <c r="E222" s="7">
        <f t="shared" si="64"/>
        <v>265.517</v>
      </c>
      <c r="F222" s="5" t="s">
        <v>411</v>
      </c>
      <c r="G222" s="5" t="s">
        <v>9</v>
      </c>
      <c r="H222" s="6">
        <v>43</v>
      </c>
      <c r="I222" s="8">
        <f t="shared" si="65"/>
        <v>3.5833333333333335</v>
      </c>
      <c r="J222" s="6">
        <f t="shared" si="66"/>
        <v>1.9534883720930232</v>
      </c>
      <c r="K222" s="5"/>
      <c r="L222" s="5"/>
      <c r="M222" s="5"/>
    </row>
    <row r="223" spans="1:13" x14ac:dyDescent="0.3">
      <c r="A223" s="5" t="s">
        <v>412</v>
      </c>
      <c r="B223" s="5" t="s">
        <v>402</v>
      </c>
      <c r="C223" s="5">
        <v>1</v>
      </c>
      <c r="D223" s="6">
        <v>118.54800066</v>
      </c>
      <c r="E223" s="7">
        <f t="shared" si="64"/>
        <v>118.54800066</v>
      </c>
      <c r="F223" s="5" t="s">
        <v>413</v>
      </c>
      <c r="G223" s="5" t="s">
        <v>9</v>
      </c>
      <c r="H223" s="6">
        <v>48</v>
      </c>
      <c r="I223" s="8">
        <f t="shared" si="65"/>
        <v>4</v>
      </c>
      <c r="J223" s="6">
        <f t="shared" si="66"/>
        <v>0.25</v>
      </c>
      <c r="K223" s="5"/>
      <c r="L223" s="5"/>
      <c r="M223" s="5"/>
    </row>
    <row r="224" spans="1:13" x14ac:dyDescent="0.3">
      <c r="A224" s="13" t="s">
        <v>414</v>
      </c>
      <c r="B224" s="13" t="s">
        <v>415</v>
      </c>
      <c r="C224" s="13">
        <v>6</v>
      </c>
      <c r="D224" s="14">
        <v>1144</v>
      </c>
      <c r="E224" s="15">
        <f t="shared" si="64"/>
        <v>6864</v>
      </c>
      <c r="F224" s="13" t="s">
        <v>416</v>
      </c>
      <c r="G224" s="13" t="s">
        <v>9</v>
      </c>
      <c r="H224" s="14">
        <v>0</v>
      </c>
      <c r="I224" s="16">
        <f t="shared" si="65"/>
        <v>0</v>
      </c>
      <c r="J224" s="14" t="e">
        <f t="shared" si="66"/>
        <v>#DIV/0!</v>
      </c>
      <c r="K224" s="13"/>
      <c r="L224" s="13"/>
      <c r="M224" s="13"/>
    </row>
    <row r="225" spans="1:13" x14ac:dyDescent="0.3">
      <c r="A225" s="13" t="s">
        <v>417</v>
      </c>
      <c r="B225" s="13" t="s">
        <v>415</v>
      </c>
      <c r="C225" s="13">
        <v>1</v>
      </c>
      <c r="D225" s="14">
        <v>842.4</v>
      </c>
      <c r="E225" s="15">
        <f t="shared" si="64"/>
        <v>842.4</v>
      </c>
      <c r="F225" s="13" t="s">
        <v>418</v>
      </c>
      <c r="G225" s="13" t="s">
        <v>9</v>
      </c>
      <c r="H225" s="14">
        <v>0</v>
      </c>
      <c r="I225" s="16">
        <f t="shared" si="65"/>
        <v>0</v>
      </c>
      <c r="J225" s="14" t="e">
        <f t="shared" si="66"/>
        <v>#DIV/0!</v>
      </c>
      <c r="K225" s="13"/>
      <c r="L225" s="13"/>
      <c r="M225" s="13"/>
    </row>
    <row r="226" spans="1:13" x14ac:dyDescent="0.3">
      <c r="A226" s="13" t="s">
        <v>419</v>
      </c>
      <c r="B226" s="13" t="s">
        <v>415</v>
      </c>
      <c r="C226" s="13">
        <v>1</v>
      </c>
      <c r="D226" s="14">
        <v>1879.89</v>
      </c>
      <c r="E226" s="15">
        <f t="shared" si="64"/>
        <v>1879.89</v>
      </c>
      <c r="F226" s="13" t="s">
        <v>420</v>
      </c>
      <c r="G226" s="13" t="s">
        <v>9</v>
      </c>
      <c r="H226" s="14">
        <v>0</v>
      </c>
      <c r="I226" s="16">
        <f t="shared" si="65"/>
        <v>0</v>
      </c>
      <c r="J226" s="14" t="e">
        <f t="shared" si="66"/>
        <v>#DIV/0!</v>
      </c>
      <c r="K226" s="13"/>
      <c r="L226" s="13"/>
      <c r="M226" s="13"/>
    </row>
    <row r="227" spans="1:13" x14ac:dyDescent="0.3">
      <c r="A227" s="5" t="s">
        <v>421</v>
      </c>
      <c r="B227" s="5" t="s">
        <v>415</v>
      </c>
      <c r="C227" s="5">
        <v>1</v>
      </c>
      <c r="D227" s="6">
        <v>5210.9704000000002</v>
      </c>
      <c r="E227" s="7">
        <f t="shared" si="64"/>
        <v>5210.9704000000002</v>
      </c>
      <c r="F227" s="5" t="s">
        <v>422</v>
      </c>
      <c r="G227" s="5" t="s">
        <v>9</v>
      </c>
      <c r="H227" s="6">
        <v>4</v>
      </c>
      <c r="I227" s="8">
        <f t="shared" si="65"/>
        <v>0.33333333333333331</v>
      </c>
      <c r="J227" s="6">
        <f t="shared" si="66"/>
        <v>3</v>
      </c>
      <c r="K227" s="5"/>
      <c r="L227" s="5"/>
      <c r="M227" s="5"/>
    </row>
    <row r="228" spans="1:13" x14ac:dyDescent="0.3">
      <c r="A228" s="5" t="s">
        <v>423</v>
      </c>
      <c r="B228" s="5" t="s">
        <v>415</v>
      </c>
      <c r="C228" s="5">
        <v>6</v>
      </c>
      <c r="D228" s="6">
        <v>3660.3407330099999</v>
      </c>
      <c r="E228" s="7">
        <f t="shared" si="64"/>
        <v>21962.044398059999</v>
      </c>
      <c r="F228" s="5" t="s">
        <v>424</v>
      </c>
      <c r="G228" s="5" t="s">
        <v>9</v>
      </c>
      <c r="H228" s="6">
        <v>16</v>
      </c>
      <c r="I228" s="8">
        <f t="shared" si="65"/>
        <v>1.3333333333333333</v>
      </c>
      <c r="J228" s="6">
        <f t="shared" si="66"/>
        <v>4.5</v>
      </c>
      <c r="K228" s="5"/>
      <c r="L228" s="5"/>
      <c r="M228" s="5"/>
    </row>
    <row r="229" spans="1:13" x14ac:dyDescent="0.3">
      <c r="A229" s="13" t="s">
        <v>425</v>
      </c>
      <c r="B229" s="13" t="s">
        <v>415</v>
      </c>
      <c r="C229" s="13">
        <v>1</v>
      </c>
      <c r="D229" s="14">
        <v>17630.601500000001</v>
      </c>
      <c r="E229" s="15">
        <f t="shared" si="64"/>
        <v>17630.601500000001</v>
      </c>
      <c r="F229" s="13" t="s">
        <v>426</v>
      </c>
      <c r="G229" s="13" t="s">
        <v>9</v>
      </c>
      <c r="H229" s="14">
        <v>0</v>
      </c>
      <c r="I229" s="16">
        <f t="shared" si="65"/>
        <v>0</v>
      </c>
      <c r="J229" s="14" t="e">
        <f t="shared" si="66"/>
        <v>#DIV/0!</v>
      </c>
      <c r="K229" s="13"/>
      <c r="L229" s="13"/>
      <c r="M229" s="13"/>
    </row>
    <row r="230" spans="1:13" x14ac:dyDescent="0.3">
      <c r="A230" s="13" t="s">
        <v>427</v>
      </c>
      <c r="B230" s="13" t="s">
        <v>415</v>
      </c>
      <c r="C230" s="13">
        <v>1</v>
      </c>
      <c r="D230" s="14">
        <v>3439.4344999999998</v>
      </c>
      <c r="E230" s="15">
        <f t="shared" si="64"/>
        <v>3439.4344999999998</v>
      </c>
      <c r="F230" s="13" t="s">
        <v>428</v>
      </c>
      <c r="G230" s="13" t="s">
        <v>9</v>
      </c>
      <c r="H230" s="14">
        <v>0</v>
      </c>
      <c r="I230" s="16">
        <f t="shared" si="65"/>
        <v>0</v>
      </c>
      <c r="J230" s="14" t="e">
        <f t="shared" si="66"/>
        <v>#DIV/0!</v>
      </c>
      <c r="K230" s="13"/>
      <c r="L230" s="13"/>
      <c r="M230" s="13"/>
    </row>
    <row r="231" spans="1:13" x14ac:dyDescent="0.3">
      <c r="A231" s="13" t="s">
        <v>429</v>
      </c>
      <c r="B231" s="13" t="s">
        <v>415</v>
      </c>
      <c r="C231" s="13">
        <v>4</v>
      </c>
      <c r="D231" s="14">
        <v>2420.52</v>
      </c>
      <c r="E231" s="15">
        <f t="shared" si="64"/>
        <v>9682.08</v>
      </c>
      <c r="F231" s="13" t="s">
        <v>430</v>
      </c>
      <c r="G231" s="13" t="s">
        <v>9</v>
      </c>
      <c r="H231" s="14">
        <v>0</v>
      </c>
      <c r="I231" s="16">
        <f t="shared" si="65"/>
        <v>0</v>
      </c>
      <c r="J231" s="14" t="e">
        <f t="shared" si="66"/>
        <v>#DIV/0!</v>
      </c>
      <c r="K231" s="13"/>
      <c r="L231" s="13"/>
      <c r="M231" s="13"/>
    </row>
    <row r="232" spans="1:13" x14ac:dyDescent="0.3">
      <c r="A232" s="5" t="s">
        <v>431</v>
      </c>
      <c r="B232" s="5" t="s">
        <v>415</v>
      </c>
      <c r="C232" s="5">
        <v>2</v>
      </c>
      <c r="D232" s="6">
        <v>388.78181818000002</v>
      </c>
      <c r="E232" s="7">
        <f t="shared" si="64"/>
        <v>777.56363636000003</v>
      </c>
      <c r="F232" s="5" t="s">
        <v>432</v>
      </c>
      <c r="G232" s="5" t="s">
        <v>9</v>
      </c>
      <c r="H232" s="6">
        <v>5</v>
      </c>
      <c r="I232" s="8">
        <f t="shared" si="65"/>
        <v>0.41666666666666669</v>
      </c>
      <c r="J232" s="6">
        <f t="shared" si="66"/>
        <v>4.8</v>
      </c>
      <c r="K232" s="5"/>
      <c r="L232" s="5"/>
      <c r="M232" s="5"/>
    </row>
    <row r="233" spans="1:13" x14ac:dyDescent="0.3">
      <c r="A233" s="13" t="s">
        <v>433</v>
      </c>
      <c r="B233" s="13" t="s">
        <v>415</v>
      </c>
      <c r="C233" s="13">
        <v>1</v>
      </c>
      <c r="D233" s="14">
        <v>522.00149999999996</v>
      </c>
      <c r="E233" s="15">
        <f t="shared" si="64"/>
        <v>522.00149999999996</v>
      </c>
      <c r="F233" s="13" t="s">
        <v>434</v>
      </c>
      <c r="G233" s="13" t="s">
        <v>9</v>
      </c>
      <c r="H233" s="14">
        <v>0</v>
      </c>
      <c r="I233" s="16">
        <f t="shared" si="65"/>
        <v>0</v>
      </c>
      <c r="J233" s="14" t="e">
        <f t="shared" si="66"/>
        <v>#DIV/0!</v>
      </c>
      <c r="K233" s="13"/>
      <c r="L233" s="13"/>
      <c r="M233" s="13"/>
    </row>
    <row r="234" spans="1:13" x14ac:dyDescent="0.3">
      <c r="A234" s="5" t="s">
        <v>435</v>
      </c>
      <c r="B234" s="5" t="s">
        <v>415</v>
      </c>
      <c r="C234" s="5">
        <v>20</v>
      </c>
      <c r="D234" s="6">
        <v>1910.9139524300001</v>
      </c>
      <c r="E234" s="7">
        <f t="shared" si="64"/>
        <v>38218.279048600001</v>
      </c>
      <c r="F234" s="5" t="s">
        <v>436</v>
      </c>
      <c r="G234" s="5" t="s">
        <v>9</v>
      </c>
      <c r="H234" s="6">
        <v>61</v>
      </c>
      <c r="I234" s="8">
        <f t="shared" si="65"/>
        <v>5.083333333333333</v>
      </c>
      <c r="J234" s="6">
        <f t="shared" si="66"/>
        <v>3.9344262295081971</v>
      </c>
      <c r="K234" s="5"/>
      <c r="L234" s="5"/>
      <c r="M234" s="5"/>
    </row>
    <row r="235" spans="1:13" x14ac:dyDescent="0.3">
      <c r="A235" s="5" t="s">
        <v>437</v>
      </c>
      <c r="B235" s="5" t="s">
        <v>415</v>
      </c>
      <c r="C235" s="5">
        <v>23</v>
      </c>
      <c r="D235" s="6">
        <v>2238.0727004599999</v>
      </c>
      <c r="E235" s="7">
        <f t="shared" si="64"/>
        <v>51475.672110579995</v>
      </c>
      <c r="F235" s="5" t="s">
        <v>438</v>
      </c>
      <c r="G235" s="5" t="s">
        <v>9</v>
      </c>
      <c r="H235" s="6">
        <v>84</v>
      </c>
      <c r="I235" s="8">
        <f t="shared" si="65"/>
        <v>7</v>
      </c>
      <c r="J235" s="6">
        <f t="shared" si="66"/>
        <v>3.2857142857142856</v>
      </c>
      <c r="K235" s="5"/>
      <c r="L235" s="5"/>
      <c r="M235" s="5"/>
    </row>
    <row r="236" spans="1:13" x14ac:dyDescent="0.3">
      <c r="A236" s="5" t="s">
        <v>439</v>
      </c>
      <c r="B236" s="5" t="s">
        <v>415</v>
      </c>
      <c r="C236" s="5">
        <v>6</v>
      </c>
      <c r="D236" s="6">
        <v>3641.22747166</v>
      </c>
      <c r="E236" s="7">
        <f t="shared" si="64"/>
        <v>21847.364829959999</v>
      </c>
      <c r="F236" s="5" t="s">
        <v>440</v>
      </c>
      <c r="G236" s="5" t="s">
        <v>9</v>
      </c>
      <c r="H236" s="6">
        <v>22</v>
      </c>
      <c r="I236" s="8">
        <f t="shared" si="65"/>
        <v>1.8333333333333333</v>
      </c>
      <c r="J236" s="6">
        <f t="shared" si="66"/>
        <v>3.2727272727272729</v>
      </c>
      <c r="K236" s="5"/>
      <c r="L236" s="5"/>
      <c r="M236" s="5"/>
    </row>
    <row r="237" spans="1:13" x14ac:dyDescent="0.3">
      <c r="A237" s="5" t="s">
        <v>441</v>
      </c>
      <c r="B237" s="5" t="s">
        <v>415</v>
      </c>
      <c r="C237" s="5">
        <v>18</v>
      </c>
      <c r="D237" s="6">
        <v>4238.9557214699998</v>
      </c>
      <c r="E237" s="7">
        <f t="shared" si="64"/>
        <v>76301.202986460004</v>
      </c>
      <c r="F237" s="5" t="s">
        <v>442</v>
      </c>
      <c r="G237" s="5" t="s">
        <v>9</v>
      </c>
      <c r="H237" s="6">
        <v>41</v>
      </c>
      <c r="I237" s="8">
        <f t="shared" si="65"/>
        <v>3.4166666666666665</v>
      </c>
      <c r="J237" s="6">
        <f t="shared" si="66"/>
        <v>5.2682926829268295</v>
      </c>
      <c r="K237" s="5"/>
      <c r="L237" s="5"/>
      <c r="M237" s="5"/>
    </row>
    <row r="238" spans="1:13" x14ac:dyDescent="0.3">
      <c r="A238" s="5" t="s">
        <v>443</v>
      </c>
      <c r="B238" s="5" t="s">
        <v>415</v>
      </c>
      <c r="C238" s="5">
        <v>5</v>
      </c>
      <c r="D238" s="6">
        <v>4652.4986615999997</v>
      </c>
      <c r="E238" s="7">
        <f t="shared" si="64"/>
        <v>23262.493307999997</v>
      </c>
      <c r="F238" s="5" t="s">
        <v>444</v>
      </c>
      <c r="G238" s="5" t="s">
        <v>9</v>
      </c>
      <c r="H238" s="6">
        <v>26</v>
      </c>
      <c r="I238" s="8">
        <f t="shared" si="65"/>
        <v>2.1666666666666665</v>
      </c>
      <c r="J238" s="6">
        <f t="shared" si="66"/>
        <v>2.3076923076923079</v>
      </c>
      <c r="K238" s="5"/>
      <c r="L238" s="5"/>
      <c r="M238" s="5"/>
    </row>
    <row r="239" spans="1:13" x14ac:dyDescent="0.3">
      <c r="A239" s="5" t="s">
        <v>445</v>
      </c>
      <c r="B239" s="5" t="s">
        <v>415</v>
      </c>
      <c r="C239" s="5">
        <v>3</v>
      </c>
      <c r="D239" s="6">
        <v>5480.6867389199997</v>
      </c>
      <c r="E239" s="7">
        <f t="shared" si="64"/>
        <v>16442.060216760001</v>
      </c>
      <c r="F239" s="5" t="s">
        <v>446</v>
      </c>
      <c r="G239" s="5" t="s">
        <v>9</v>
      </c>
      <c r="H239" s="6">
        <v>7</v>
      </c>
      <c r="I239" s="8">
        <f t="shared" si="65"/>
        <v>0.58333333333333337</v>
      </c>
      <c r="J239" s="6">
        <f t="shared" si="66"/>
        <v>5.1428571428571423</v>
      </c>
      <c r="K239" s="5"/>
      <c r="L239" s="18">
        <v>46042</v>
      </c>
      <c r="M239" s="5" t="s">
        <v>677</v>
      </c>
    </row>
    <row r="240" spans="1:13" x14ac:dyDescent="0.3">
      <c r="A240" s="9" t="s">
        <v>445</v>
      </c>
      <c r="B240" s="9" t="s">
        <v>415</v>
      </c>
      <c r="C240" s="9">
        <f>7-3</f>
        <v>4</v>
      </c>
      <c r="D240" s="10">
        <v>5480.6867389199997</v>
      </c>
      <c r="E240" s="11">
        <f t="shared" ref="E240" si="67">+C240*D240</f>
        <v>21922.746955679999</v>
      </c>
      <c r="F240" s="9" t="s">
        <v>446</v>
      </c>
      <c r="G240" s="9" t="s">
        <v>9</v>
      </c>
      <c r="H240" s="10">
        <v>7</v>
      </c>
      <c r="I240" s="12">
        <f t="shared" si="65"/>
        <v>0.58333333333333337</v>
      </c>
      <c r="J240" s="10">
        <f t="shared" ref="J240" si="68">+C240/I240</f>
        <v>6.8571428571428568</v>
      </c>
      <c r="K240" s="9"/>
      <c r="L240" s="17">
        <v>46042</v>
      </c>
      <c r="M240" s="9" t="s">
        <v>677</v>
      </c>
    </row>
    <row r="241" spans="1:13" x14ac:dyDescent="0.3">
      <c r="A241" s="5" t="s">
        <v>447</v>
      </c>
      <c r="B241" s="5" t="s">
        <v>415</v>
      </c>
      <c r="C241" s="5">
        <v>33</v>
      </c>
      <c r="D241" s="6">
        <v>5253.4136329499997</v>
      </c>
      <c r="E241" s="7">
        <f t="shared" si="64"/>
        <v>173362.64988734998</v>
      </c>
      <c r="F241" s="5" t="s">
        <v>448</v>
      </c>
      <c r="G241" s="5" t="s">
        <v>9</v>
      </c>
      <c r="H241" s="6">
        <v>111</v>
      </c>
      <c r="I241" s="8">
        <f t="shared" si="65"/>
        <v>9.25</v>
      </c>
      <c r="J241" s="6">
        <f t="shared" si="66"/>
        <v>3.5675675675675675</v>
      </c>
      <c r="K241" s="5"/>
      <c r="L241" s="5"/>
      <c r="M241" s="5"/>
    </row>
    <row r="242" spans="1:13" x14ac:dyDescent="0.3">
      <c r="A242" s="5" t="s">
        <v>449</v>
      </c>
      <c r="B242" s="5" t="s">
        <v>415</v>
      </c>
      <c r="C242" s="5">
        <v>7</v>
      </c>
      <c r="D242" s="6">
        <v>5810.8645962500004</v>
      </c>
      <c r="E242" s="7">
        <f t="shared" si="64"/>
        <v>40676.052173750002</v>
      </c>
      <c r="F242" s="5" t="s">
        <v>450</v>
      </c>
      <c r="G242" s="5" t="s">
        <v>9</v>
      </c>
      <c r="H242" s="6">
        <v>24</v>
      </c>
      <c r="I242" s="8">
        <f t="shared" si="65"/>
        <v>2</v>
      </c>
      <c r="J242" s="6">
        <f t="shared" si="66"/>
        <v>3.5</v>
      </c>
      <c r="K242" s="5"/>
      <c r="L242" s="5"/>
      <c r="M242" s="5"/>
    </row>
    <row r="243" spans="1:13" x14ac:dyDescent="0.3">
      <c r="A243" s="5" t="s">
        <v>451</v>
      </c>
      <c r="B243" s="5" t="s">
        <v>415</v>
      </c>
      <c r="C243" s="5">
        <v>103</v>
      </c>
      <c r="D243" s="6">
        <v>6245.9764071199997</v>
      </c>
      <c r="E243" s="7">
        <f t="shared" si="64"/>
        <v>643335.56993335998</v>
      </c>
      <c r="F243" s="5" t="s">
        <v>452</v>
      </c>
      <c r="G243" s="5" t="s">
        <v>9</v>
      </c>
      <c r="H243" s="6">
        <v>297</v>
      </c>
      <c r="I243" s="8">
        <f t="shared" si="65"/>
        <v>24.75</v>
      </c>
      <c r="J243" s="6">
        <f t="shared" si="66"/>
        <v>4.1616161616161618</v>
      </c>
      <c r="K243" s="5"/>
      <c r="L243" s="5"/>
      <c r="M243" s="5"/>
    </row>
    <row r="244" spans="1:13" x14ac:dyDescent="0.3">
      <c r="A244" s="5" t="s">
        <v>453</v>
      </c>
      <c r="B244" s="5" t="s">
        <v>415</v>
      </c>
      <c r="C244" s="5">
        <v>6</v>
      </c>
      <c r="D244" s="6">
        <v>13824.02250832</v>
      </c>
      <c r="E244" s="7">
        <f t="shared" si="64"/>
        <v>82944.135049920005</v>
      </c>
      <c r="F244" s="5" t="s">
        <v>454</v>
      </c>
      <c r="G244" s="5" t="s">
        <v>9</v>
      </c>
      <c r="H244" s="6">
        <v>47</v>
      </c>
      <c r="I244" s="8">
        <f t="shared" si="65"/>
        <v>3.9166666666666665</v>
      </c>
      <c r="J244" s="6">
        <f t="shared" si="66"/>
        <v>1.5319148936170213</v>
      </c>
      <c r="K244" s="5"/>
      <c r="L244" s="5"/>
      <c r="M244" s="5"/>
    </row>
    <row r="245" spans="1:13" x14ac:dyDescent="0.3">
      <c r="A245" s="5" t="s">
        <v>455</v>
      </c>
      <c r="B245" s="5" t="s">
        <v>415</v>
      </c>
      <c r="C245" s="5">
        <v>6</v>
      </c>
      <c r="D245" s="6">
        <v>12868.06297273</v>
      </c>
      <c r="E245" s="7">
        <f t="shared" si="64"/>
        <v>77208.377836380008</v>
      </c>
      <c r="F245" s="5" t="s">
        <v>456</v>
      </c>
      <c r="G245" s="5" t="s">
        <v>9</v>
      </c>
      <c r="H245" s="6">
        <v>13</v>
      </c>
      <c r="I245" s="8">
        <f t="shared" si="65"/>
        <v>1.0833333333333333</v>
      </c>
      <c r="J245" s="6">
        <f t="shared" si="66"/>
        <v>5.5384615384615392</v>
      </c>
      <c r="K245" s="5"/>
      <c r="L245" s="5"/>
      <c r="M245" s="5"/>
    </row>
    <row r="246" spans="1:13" x14ac:dyDescent="0.3">
      <c r="A246" s="5" t="s">
        <v>457</v>
      </c>
      <c r="B246" s="5" t="s">
        <v>415</v>
      </c>
      <c r="C246" s="5">
        <v>3</v>
      </c>
      <c r="D246" s="6">
        <v>24907.061799999999</v>
      </c>
      <c r="E246" s="7">
        <f t="shared" si="64"/>
        <v>74721.185400000002</v>
      </c>
      <c r="F246" s="5" t="s">
        <v>458</v>
      </c>
      <c r="G246" s="5" t="s">
        <v>9</v>
      </c>
      <c r="H246" s="6">
        <v>39</v>
      </c>
      <c r="I246" s="8">
        <f t="shared" si="65"/>
        <v>3.25</v>
      </c>
      <c r="J246" s="6">
        <f t="shared" si="66"/>
        <v>0.92307692307692313</v>
      </c>
      <c r="K246" s="5"/>
      <c r="L246" s="5"/>
      <c r="M246" s="5"/>
    </row>
    <row r="247" spans="1:13" x14ac:dyDescent="0.3">
      <c r="A247" s="5" t="s">
        <v>459</v>
      </c>
      <c r="B247" s="5" t="s">
        <v>415</v>
      </c>
      <c r="C247" s="5">
        <v>14</v>
      </c>
      <c r="D247" s="6">
        <v>21829.686399999999</v>
      </c>
      <c r="E247" s="7">
        <f t="shared" si="64"/>
        <v>305615.60959999997</v>
      </c>
      <c r="F247" s="5" t="s">
        <v>460</v>
      </c>
      <c r="G247" s="5" t="s">
        <v>9</v>
      </c>
      <c r="H247" s="6">
        <v>62</v>
      </c>
      <c r="I247" s="8">
        <f t="shared" si="65"/>
        <v>5.166666666666667</v>
      </c>
      <c r="J247" s="6">
        <f t="shared" si="66"/>
        <v>2.7096774193548385</v>
      </c>
      <c r="K247" s="5"/>
      <c r="L247" s="5"/>
      <c r="M247" s="5"/>
    </row>
    <row r="248" spans="1:13" x14ac:dyDescent="0.3">
      <c r="A248" s="9" t="s">
        <v>461</v>
      </c>
      <c r="B248" s="9" t="s">
        <v>415</v>
      </c>
      <c r="C248" s="9">
        <v>9</v>
      </c>
      <c r="D248" s="10">
        <v>379.12515714</v>
      </c>
      <c r="E248" s="11">
        <f t="shared" si="64"/>
        <v>3412.1264142599998</v>
      </c>
      <c r="F248" s="9" t="s">
        <v>462</v>
      </c>
      <c r="G248" s="9" t="s">
        <v>9</v>
      </c>
      <c r="H248" s="10">
        <v>4</v>
      </c>
      <c r="I248" s="12">
        <f t="shared" si="65"/>
        <v>0.33333333333333331</v>
      </c>
      <c r="J248" s="10">
        <f t="shared" si="66"/>
        <v>27</v>
      </c>
      <c r="K248" s="9"/>
      <c r="L248" s="9"/>
      <c r="M248" s="9"/>
    </row>
    <row r="249" spans="1:13" x14ac:dyDescent="0.3">
      <c r="A249" s="13" t="s">
        <v>463</v>
      </c>
      <c r="B249" s="13" t="s">
        <v>415</v>
      </c>
      <c r="C249" s="13">
        <v>4</v>
      </c>
      <c r="D249" s="14">
        <v>591.01350000000002</v>
      </c>
      <c r="E249" s="15">
        <f t="shared" si="64"/>
        <v>2364.0540000000001</v>
      </c>
      <c r="F249" s="13" t="s">
        <v>464</v>
      </c>
      <c r="G249" s="13" t="s">
        <v>9</v>
      </c>
      <c r="H249" s="14">
        <v>0</v>
      </c>
      <c r="I249" s="16">
        <f t="shared" si="65"/>
        <v>0</v>
      </c>
      <c r="J249" s="14" t="e">
        <f t="shared" si="66"/>
        <v>#DIV/0!</v>
      </c>
      <c r="K249" s="13"/>
      <c r="L249" s="13"/>
      <c r="M249" s="13"/>
    </row>
    <row r="250" spans="1:13" x14ac:dyDescent="0.3">
      <c r="A250" s="5" t="s">
        <v>465</v>
      </c>
      <c r="B250" s="5" t="s">
        <v>415</v>
      </c>
      <c r="C250" s="5">
        <v>7</v>
      </c>
      <c r="D250" s="6">
        <v>985.60731121000003</v>
      </c>
      <c r="E250" s="7">
        <f t="shared" si="64"/>
        <v>6899.25117847</v>
      </c>
      <c r="F250" s="5" t="s">
        <v>466</v>
      </c>
      <c r="G250" s="5" t="s">
        <v>9</v>
      </c>
      <c r="H250" s="6">
        <v>16</v>
      </c>
      <c r="I250" s="8">
        <f t="shared" si="65"/>
        <v>1.3333333333333333</v>
      </c>
      <c r="J250" s="6">
        <f t="shared" si="66"/>
        <v>5.25</v>
      </c>
      <c r="K250" s="5"/>
      <c r="L250" s="5"/>
      <c r="M250" s="5"/>
    </row>
    <row r="251" spans="1:13" x14ac:dyDescent="0.3">
      <c r="A251" s="13" t="s">
        <v>467</v>
      </c>
      <c r="B251" s="13" t="s">
        <v>468</v>
      </c>
      <c r="C251" s="13">
        <v>7</v>
      </c>
      <c r="D251" s="14">
        <v>43.103999999999999</v>
      </c>
      <c r="E251" s="15">
        <f t="shared" si="64"/>
        <v>301.72800000000001</v>
      </c>
      <c r="F251" s="13" t="s">
        <v>469</v>
      </c>
      <c r="G251" s="13" t="s">
        <v>9</v>
      </c>
      <c r="H251" s="14">
        <v>0</v>
      </c>
      <c r="I251" s="16">
        <f t="shared" si="65"/>
        <v>0</v>
      </c>
      <c r="J251" s="14" t="e">
        <f t="shared" si="66"/>
        <v>#DIV/0!</v>
      </c>
      <c r="K251" s="13"/>
      <c r="L251" s="13"/>
      <c r="M251" s="13"/>
    </row>
    <row r="252" spans="1:13" x14ac:dyDescent="0.3">
      <c r="A252" s="13" t="s">
        <v>470</v>
      </c>
      <c r="B252" s="13" t="s">
        <v>468</v>
      </c>
      <c r="C252" s="13">
        <v>2</v>
      </c>
      <c r="D252" s="14">
        <v>2997.0463</v>
      </c>
      <c r="E252" s="15">
        <f t="shared" si="64"/>
        <v>5994.0925999999999</v>
      </c>
      <c r="F252" s="13" t="s">
        <v>471</v>
      </c>
      <c r="G252" s="13" t="s">
        <v>9</v>
      </c>
      <c r="H252" s="14">
        <v>0</v>
      </c>
      <c r="I252" s="16">
        <f t="shared" si="65"/>
        <v>0</v>
      </c>
      <c r="J252" s="14" t="e">
        <f t="shared" si="66"/>
        <v>#DIV/0!</v>
      </c>
      <c r="K252" s="13"/>
      <c r="L252" s="13"/>
      <c r="M252" s="13"/>
    </row>
    <row r="253" spans="1:13" x14ac:dyDescent="0.3">
      <c r="A253" s="5" t="s">
        <v>472</v>
      </c>
      <c r="B253" s="5" t="s">
        <v>468</v>
      </c>
      <c r="C253" s="5">
        <v>1</v>
      </c>
      <c r="D253" s="6">
        <v>4073.506425</v>
      </c>
      <c r="E253" s="7">
        <f t="shared" si="64"/>
        <v>4073.506425</v>
      </c>
      <c r="F253" s="5" t="s">
        <v>473</v>
      </c>
      <c r="G253" s="5" t="s">
        <v>9</v>
      </c>
      <c r="H253" s="6">
        <v>4</v>
      </c>
      <c r="I253" s="8">
        <f t="shared" si="65"/>
        <v>0.33333333333333331</v>
      </c>
      <c r="J253" s="6">
        <f t="shared" si="66"/>
        <v>3</v>
      </c>
      <c r="K253" s="5"/>
      <c r="L253" s="5"/>
      <c r="M253" s="5"/>
    </row>
    <row r="254" spans="1:13" x14ac:dyDescent="0.3">
      <c r="A254" s="9" t="s">
        <v>474</v>
      </c>
      <c r="B254" s="9" t="s">
        <v>468</v>
      </c>
      <c r="C254" s="9">
        <v>113</v>
      </c>
      <c r="D254" s="10">
        <v>98.523932470000005</v>
      </c>
      <c r="E254" s="11">
        <f t="shared" si="64"/>
        <v>11133.204369110001</v>
      </c>
      <c r="F254" s="9" t="s">
        <v>475</v>
      </c>
      <c r="G254" s="9" t="s">
        <v>9</v>
      </c>
      <c r="H254" s="10">
        <v>7</v>
      </c>
      <c r="I254" s="12">
        <f t="shared" si="65"/>
        <v>0.58333333333333337</v>
      </c>
      <c r="J254" s="10">
        <f t="shared" si="66"/>
        <v>193.71428571428569</v>
      </c>
      <c r="K254" s="9"/>
      <c r="L254" s="9"/>
      <c r="M254" s="9"/>
    </row>
    <row r="255" spans="1:13" x14ac:dyDescent="0.3">
      <c r="A255" s="9" t="s">
        <v>476</v>
      </c>
      <c r="B255" s="9" t="s">
        <v>468</v>
      </c>
      <c r="C255" s="9">
        <v>125</v>
      </c>
      <c r="D255" s="10">
        <v>100.621089</v>
      </c>
      <c r="E255" s="11">
        <f t="shared" si="64"/>
        <v>12577.636124999999</v>
      </c>
      <c r="F255" s="9" t="s">
        <v>477</v>
      </c>
      <c r="G255" s="9" t="s">
        <v>9</v>
      </c>
      <c r="H255" s="10">
        <v>10</v>
      </c>
      <c r="I255" s="12">
        <f t="shared" si="65"/>
        <v>0.83333333333333337</v>
      </c>
      <c r="J255" s="10">
        <f t="shared" si="66"/>
        <v>150</v>
      </c>
      <c r="K255" s="9"/>
      <c r="L255" s="9"/>
      <c r="M255" s="9"/>
    </row>
    <row r="256" spans="1:13" x14ac:dyDescent="0.3">
      <c r="A256" s="9" t="s">
        <v>478</v>
      </c>
      <c r="B256" s="9" t="s">
        <v>468</v>
      </c>
      <c r="C256" s="9">
        <v>28</v>
      </c>
      <c r="D256" s="10">
        <v>166.57618124999999</v>
      </c>
      <c r="E256" s="11">
        <f t="shared" si="64"/>
        <v>4664.1330749999997</v>
      </c>
      <c r="F256" s="9" t="s">
        <v>478</v>
      </c>
      <c r="G256" s="9" t="s">
        <v>9</v>
      </c>
      <c r="H256" s="10">
        <v>11</v>
      </c>
      <c r="I256" s="12">
        <f t="shared" si="65"/>
        <v>0.91666666666666663</v>
      </c>
      <c r="J256" s="10">
        <f t="shared" si="66"/>
        <v>30.545454545454547</v>
      </c>
      <c r="K256" s="9"/>
      <c r="L256" s="9"/>
      <c r="M256" s="9"/>
    </row>
    <row r="257" spans="1:13" x14ac:dyDescent="0.3">
      <c r="A257" s="5" t="s">
        <v>479</v>
      </c>
      <c r="B257" s="5" t="s">
        <v>468</v>
      </c>
      <c r="C257" s="5">
        <v>2</v>
      </c>
      <c r="D257" s="6">
        <v>2.29061176</v>
      </c>
      <c r="E257" s="7">
        <f t="shared" si="64"/>
        <v>4.58122352</v>
      </c>
      <c r="F257" s="5" t="s">
        <v>480</v>
      </c>
      <c r="G257" s="5" t="s">
        <v>9</v>
      </c>
      <c r="H257" s="6">
        <v>90</v>
      </c>
      <c r="I257" s="8">
        <f t="shared" si="65"/>
        <v>7.5</v>
      </c>
      <c r="J257" s="6">
        <f t="shared" si="66"/>
        <v>0.26666666666666666</v>
      </c>
      <c r="K257" s="5"/>
      <c r="L257" s="5"/>
      <c r="M257" s="5"/>
    </row>
    <row r="258" spans="1:13" x14ac:dyDescent="0.3">
      <c r="A258" s="5" t="s">
        <v>481</v>
      </c>
      <c r="B258" s="5" t="s">
        <v>468</v>
      </c>
      <c r="C258" s="5">
        <f>26*5</f>
        <v>130</v>
      </c>
      <c r="D258" s="6">
        <v>625.28411282000002</v>
      </c>
      <c r="E258" s="7">
        <f t="shared" si="64"/>
        <v>81286.934666600006</v>
      </c>
      <c r="F258" s="5" t="s">
        <v>482</v>
      </c>
      <c r="G258" s="5" t="s">
        <v>9</v>
      </c>
      <c r="H258" s="6">
        <v>304</v>
      </c>
      <c r="I258" s="8">
        <f t="shared" si="65"/>
        <v>25.333333333333332</v>
      </c>
      <c r="J258" s="6">
        <f t="shared" si="66"/>
        <v>5.1315789473684212</v>
      </c>
      <c r="K258" s="5"/>
      <c r="L258" s="18">
        <v>46073</v>
      </c>
      <c r="M258" s="5" t="s">
        <v>683</v>
      </c>
    </row>
    <row r="259" spans="1:13" x14ac:dyDescent="0.3">
      <c r="A259" s="9" t="s">
        <v>481</v>
      </c>
      <c r="B259" s="9" t="s">
        <v>468</v>
      </c>
      <c r="C259" s="9">
        <f>357-130</f>
        <v>227</v>
      </c>
      <c r="D259" s="10">
        <v>625.28411282000002</v>
      </c>
      <c r="E259" s="11">
        <f t="shared" ref="E259" si="69">+C259*D259</f>
        <v>141939.49361013999</v>
      </c>
      <c r="F259" s="9" t="s">
        <v>482</v>
      </c>
      <c r="G259" s="9" t="s">
        <v>9</v>
      </c>
      <c r="H259" s="10">
        <v>304</v>
      </c>
      <c r="I259" s="12">
        <f t="shared" si="65"/>
        <v>25.333333333333332</v>
      </c>
      <c r="J259" s="10">
        <f t="shared" ref="J259" si="70">+C259/I259</f>
        <v>8.9605263157894743</v>
      </c>
      <c r="K259" s="9"/>
      <c r="L259" s="17">
        <v>46073</v>
      </c>
      <c r="M259" s="9" t="s">
        <v>683</v>
      </c>
    </row>
    <row r="260" spans="1:13" x14ac:dyDescent="0.3">
      <c r="A260" s="13" t="s">
        <v>483</v>
      </c>
      <c r="B260" s="13" t="s">
        <v>468</v>
      </c>
      <c r="C260" s="13">
        <v>2</v>
      </c>
      <c r="D260" s="14">
        <v>14043.186100000001</v>
      </c>
      <c r="E260" s="15">
        <f t="shared" si="64"/>
        <v>28086.372200000002</v>
      </c>
      <c r="F260" s="13" t="s">
        <v>484</v>
      </c>
      <c r="G260" s="13" t="s">
        <v>9</v>
      </c>
      <c r="H260" s="14">
        <v>0</v>
      </c>
      <c r="I260" s="16">
        <f t="shared" si="65"/>
        <v>0</v>
      </c>
      <c r="J260" s="14" t="e">
        <f t="shared" si="66"/>
        <v>#DIV/0!</v>
      </c>
      <c r="K260" s="13"/>
      <c r="L260" s="13"/>
      <c r="M260" s="13"/>
    </row>
    <row r="261" spans="1:13" x14ac:dyDescent="0.3">
      <c r="A261" s="13" t="s">
        <v>485</v>
      </c>
      <c r="B261" s="13" t="s">
        <v>468</v>
      </c>
      <c r="C261" s="13">
        <v>3</v>
      </c>
      <c r="D261" s="14">
        <v>383.19</v>
      </c>
      <c r="E261" s="15">
        <f t="shared" si="64"/>
        <v>1149.57</v>
      </c>
      <c r="F261" s="13" t="s">
        <v>486</v>
      </c>
      <c r="G261" s="13" t="s">
        <v>9</v>
      </c>
      <c r="H261" s="14">
        <v>0</v>
      </c>
      <c r="I261" s="16">
        <f t="shared" si="65"/>
        <v>0</v>
      </c>
      <c r="J261" s="14" t="e">
        <f t="shared" si="66"/>
        <v>#DIV/0!</v>
      </c>
      <c r="K261" s="13"/>
      <c r="L261" s="13"/>
      <c r="M261" s="13"/>
    </row>
    <row r="262" spans="1:13" x14ac:dyDescent="0.3">
      <c r="A262" s="5" t="s">
        <v>487</v>
      </c>
      <c r="B262" s="5" t="s">
        <v>468</v>
      </c>
      <c r="C262" s="5">
        <v>39</v>
      </c>
      <c r="D262" s="6">
        <v>33041.128996719999</v>
      </c>
      <c r="E262" s="7">
        <f t="shared" si="64"/>
        <v>1288604.03087208</v>
      </c>
      <c r="F262" s="5" t="s">
        <v>488</v>
      </c>
      <c r="G262" s="5" t="s">
        <v>9</v>
      </c>
      <c r="H262" s="6">
        <v>130</v>
      </c>
      <c r="I262" s="8">
        <f t="shared" si="65"/>
        <v>10.833333333333334</v>
      </c>
      <c r="J262" s="6">
        <f t="shared" si="66"/>
        <v>3.5999999999999996</v>
      </c>
      <c r="K262" s="5"/>
      <c r="L262" s="5"/>
      <c r="M262" s="5"/>
    </row>
    <row r="263" spans="1:13" x14ac:dyDescent="0.3">
      <c r="A263" s="5" t="s">
        <v>489</v>
      </c>
      <c r="B263" s="5" t="s">
        <v>468</v>
      </c>
      <c r="C263" s="5">
        <v>33</v>
      </c>
      <c r="D263" s="6">
        <v>27995.91675764</v>
      </c>
      <c r="E263" s="7">
        <f t="shared" si="64"/>
        <v>923865.25300211995</v>
      </c>
      <c r="F263" s="5" t="s">
        <v>490</v>
      </c>
      <c r="G263" s="5" t="s">
        <v>9</v>
      </c>
      <c r="H263" s="6">
        <v>101</v>
      </c>
      <c r="I263" s="8">
        <f t="shared" si="65"/>
        <v>8.4166666666666661</v>
      </c>
      <c r="J263" s="6">
        <f t="shared" si="66"/>
        <v>3.9207920792079212</v>
      </c>
      <c r="K263" s="5"/>
      <c r="L263" s="5"/>
      <c r="M263" s="5"/>
    </row>
    <row r="264" spans="1:13" x14ac:dyDescent="0.3">
      <c r="A264" s="5" t="s">
        <v>491</v>
      </c>
      <c r="B264" s="5" t="s">
        <v>468</v>
      </c>
      <c r="C264" s="5">
        <v>76</v>
      </c>
      <c r="D264" s="6">
        <v>6791.4435608200001</v>
      </c>
      <c r="E264" s="7">
        <f t="shared" si="64"/>
        <v>516149.71062232001</v>
      </c>
      <c r="F264" s="5" t="s">
        <v>492</v>
      </c>
      <c r="G264" s="5" t="s">
        <v>9</v>
      </c>
      <c r="H264" s="6">
        <v>142</v>
      </c>
      <c r="I264" s="8">
        <f>+H264/5</f>
        <v>28.4</v>
      </c>
      <c r="J264" s="6">
        <f t="shared" si="66"/>
        <v>2.676056338028169</v>
      </c>
      <c r="K264" s="5"/>
      <c r="L264" s="5"/>
      <c r="M264" s="5"/>
    </row>
    <row r="265" spans="1:13" x14ac:dyDescent="0.3">
      <c r="A265" s="5" t="s">
        <v>493</v>
      </c>
      <c r="B265" s="5" t="s">
        <v>468</v>
      </c>
      <c r="C265" s="5">
        <v>100</v>
      </c>
      <c r="D265" s="6">
        <v>13085.769854939999</v>
      </c>
      <c r="E265" s="7">
        <f t="shared" si="64"/>
        <v>1308576.9854939999</v>
      </c>
      <c r="F265" s="5" t="s">
        <v>494</v>
      </c>
      <c r="G265" s="5" t="s">
        <v>9</v>
      </c>
      <c r="H265" s="6">
        <v>253</v>
      </c>
      <c r="I265" s="8">
        <f t="shared" si="65"/>
        <v>21.083333333333332</v>
      </c>
      <c r="J265" s="6">
        <f t="shared" si="66"/>
        <v>4.7430830039525693</v>
      </c>
      <c r="K265" s="5"/>
      <c r="L265" s="5"/>
      <c r="M265" s="5"/>
    </row>
    <row r="266" spans="1:13" x14ac:dyDescent="0.3">
      <c r="A266" s="5" t="s">
        <v>495</v>
      </c>
      <c r="B266" s="5" t="s">
        <v>468</v>
      </c>
      <c r="C266" s="5">
        <f>203+84</f>
        <v>287</v>
      </c>
      <c r="D266" s="6">
        <v>207.35413635</v>
      </c>
      <c r="E266" s="7">
        <f t="shared" si="64"/>
        <v>59510.63713245</v>
      </c>
      <c r="F266" s="5" t="s">
        <v>496</v>
      </c>
      <c r="G266" s="5" t="s">
        <v>9</v>
      </c>
      <c r="H266" s="6">
        <v>1533</v>
      </c>
      <c r="I266" s="8">
        <f t="shared" si="65"/>
        <v>127.75</v>
      </c>
      <c r="J266" s="6">
        <f t="shared" si="66"/>
        <v>2.2465753424657535</v>
      </c>
      <c r="K266" s="5"/>
      <c r="L266" s="5"/>
      <c r="M266" s="5"/>
    </row>
    <row r="267" spans="1:13" x14ac:dyDescent="0.3">
      <c r="A267" s="5" t="s">
        <v>497</v>
      </c>
      <c r="B267" s="5" t="s">
        <v>468</v>
      </c>
      <c r="C267" s="5">
        <v>18</v>
      </c>
      <c r="D267" s="6">
        <v>151.46936782</v>
      </c>
      <c r="E267" s="7">
        <f t="shared" si="64"/>
        <v>2726.4486207600003</v>
      </c>
      <c r="F267" s="5" t="s">
        <v>498</v>
      </c>
      <c r="G267" s="5" t="s">
        <v>9</v>
      </c>
      <c r="H267" s="6">
        <v>106</v>
      </c>
      <c r="I267" s="8">
        <f t="shared" si="65"/>
        <v>8.8333333333333339</v>
      </c>
      <c r="J267" s="6">
        <f t="shared" si="66"/>
        <v>2.0377358490566038</v>
      </c>
      <c r="K267" s="5"/>
      <c r="L267" s="5"/>
      <c r="M267" s="5"/>
    </row>
    <row r="268" spans="1:13" x14ac:dyDescent="0.3">
      <c r="A268" s="5" t="s">
        <v>499</v>
      </c>
      <c r="B268" s="5" t="s">
        <v>468</v>
      </c>
      <c r="C268" s="5">
        <v>26</v>
      </c>
      <c r="D268" s="6">
        <v>599.36630000000002</v>
      </c>
      <c r="E268" s="7">
        <f t="shared" si="64"/>
        <v>15583.523800000001</v>
      </c>
      <c r="F268" s="5" t="s">
        <v>500</v>
      </c>
      <c r="G268" s="5" t="s">
        <v>9</v>
      </c>
      <c r="H268" s="6">
        <v>94</v>
      </c>
      <c r="I268" s="8">
        <f t="shared" si="65"/>
        <v>7.833333333333333</v>
      </c>
      <c r="J268" s="6">
        <f t="shared" si="66"/>
        <v>3.3191489361702127</v>
      </c>
      <c r="K268" s="5"/>
      <c r="L268" s="5"/>
      <c r="M268" s="5"/>
    </row>
    <row r="269" spans="1:13" x14ac:dyDescent="0.3">
      <c r="A269" s="9" t="s">
        <v>465</v>
      </c>
      <c r="B269" s="9" t="s">
        <v>415</v>
      </c>
      <c r="C269" s="9">
        <f>10-7</f>
        <v>3</v>
      </c>
      <c r="D269" s="10">
        <v>985.60731121000003</v>
      </c>
      <c r="E269" s="11">
        <f t="shared" ref="E269" si="71">+C269*D269</f>
        <v>2956.8219336299999</v>
      </c>
      <c r="F269" s="9" t="s">
        <v>466</v>
      </c>
      <c r="G269" s="9" t="s">
        <v>9</v>
      </c>
      <c r="H269" s="10">
        <v>16</v>
      </c>
      <c r="I269" s="12">
        <f t="shared" si="65"/>
        <v>1.3333333333333333</v>
      </c>
      <c r="J269" s="10">
        <f t="shared" ref="J269" si="72">+C269/I269</f>
        <v>2.25</v>
      </c>
      <c r="K269" s="9"/>
      <c r="L269" s="9"/>
      <c r="M269" s="9"/>
    </row>
    <row r="270" spans="1:13" x14ac:dyDescent="0.3">
      <c r="A270" s="5" t="s">
        <v>501</v>
      </c>
      <c r="B270" s="5" t="s">
        <v>468</v>
      </c>
      <c r="C270" s="5">
        <v>27</v>
      </c>
      <c r="D270" s="6">
        <v>863.43755247000001</v>
      </c>
      <c r="E270" s="7">
        <f t="shared" si="64"/>
        <v>23312.81391669</v>
      </c>
      <c r="F270" s="5" t="s">
        <v>502</v>
      </c>
      <c r="G270" s="5" t="s">
        <v>9</v>
      </c>
      <c r="H270" s="6">
        <v>127</v>
      </c>
      <c r="I270" s="8">
        <f t="shared" si="65"/>
        <v>10.583333333333334</v>
      </c>
      <c r="J270" s="6">
        <f t="shared" si="66"/>
        <v>2.5511811023622046</v>
      </c>
      <c r="K270" s="5"/>
      <c r="L270" s="5"/>
      <c r="M270" s="5"/>
    </row>
    <row r="271" spans="1:13" x14ac:dyDescent="0.3">
      <c r="A271" s="9" t="s">
        <v>503</v>
      </c>
      <c r="B271" s="9" t="s">
        <v>468</v>
      </c>
      <c r="C271" s="9">
        <v>13</v>
      </c>
      <c r="D271" s="10">
        <v>750.40146666999999</v>
      </c>
      <c r="E271" s="11">
        <f t="shared" si="64"/>
        <v>9755.2190667100003</v>
      </c>
      <c r="F271" s="9" t="s">
        <v>504</v>
      </c>
      <c r="G271" s="9" t="s">
        <v>9</v>
      </c>
      <c r="H271" s="10">
        <v>1</v>
      </c>
      <c r="I271" s="12">
        <f t="shared" si="65"/>
        <v>8.3333333333333329E-2</v>
      </c>
      <c r="J271" s="10">
        <f t="shared" si="66"/>
        <v>156</v>
      </c>
      <c r="K271" s="9"/>
      <c r="L271" s="9"/>
      <c r="M271" s="9"/>
    </row>
    <row r="272" spans="1:13" x14ac:dyDescent="0.3">
      <c r="A272" s="5" t="s">
        <v>505</v>
      </c>
      <c r="B272" s="5" t="s">
        <v>468</v>
      </c>
      <c r="C272" s="5">
        <v>100</v>
      </c>
      <c r="D272" s="6">
        <v>138.86015613999999</v>
      </c>
      <c r="E272" s="7">
        <f t="shared" si="64"/>
        <v>13886.015613999998</v>
      </c>
      <c r="F272" s="5" t="s">
        <v>506</v>
      </c>
      <c r="G272" s="5" t="s">
        <v>9</v>
      </c>
      <c r="H272" s="6">
        <v>185</v>
      </c>
      <c r="I272" s="8">
        <f t="shared" si="65"/>
        <v>15.416666666666666</v>
      </c>
      <c r="J272" s="6">
        <f t="shared" si="66"/>
        <v>6.4864864864864868</v>
      </c>
      <c r="K272" s="5"/>
      <c r="L272" s="5"/>
      <c r="M272" s="5"/>
    </row>
    <row r="273" spans="1:13" x14ac:dyDescent="0.3">
      <c r="A273" s="5" t="s">
        <v>507</v>
      </c>
      <c r="B273" s="5" t="s">
        <v>468</v>
      </c>
      <c r="C273" s="5">
        <v>7</v>
      </c>
      <c r="D273" s="6">
        <v>166.21701429000001</v>
      </c>
      <c r="E273" s="7">
        <f t="shared" si="64"/>
        <v>1163.5191000300001</v>
      </c>
      <c r="F273" s="5" t="s">
        <v>508</v>
      </c>
      <c r="G273" s="5" t="s">
        <v>9</v>
      </c>
      <c r="H273" s="6">
        <v>15</v>
      </c>
      <c r="I273" s="8">
        <f t="shared" si="65"/>
        <v>1.25</v>
      </c>
      <c r="J273" s="6">
        <f t="shared" si="66"/>
        <v>5.6</v>
      </c>
      <c r="K273" s="5"/>
      <c r="L273" s="5"/>
      <c r="M273" s="5"/>
    </row>
    <row r="274" spans="1:13" x14ac:dyDescent="0.3">
      <c r="A274" s="9" t="s">
        <v>507</v>
      </c>
      <c r="B274" s="9" t="s">
        <v>468</v>
      </c>
      <c r="C274" s="9">
        <f>49-7</f>
        <v>42</v>
      </c>
      <c r="D274" s="10">
        <v>166.21701429000001</v>
      </c>
      <c r="E274" s="11">
        <f t="shared" ref="E274" si="73">+C274*D274</f>
        <v>6981.1146001800007</v>
      </c>
      <c r="F274" s="9" t="s">
        <v>508</v>
      </c>
      <c r="G274" s="9" t="s">
        <v>9</v>
      </c>
      <c r="H274" s="10">
        <v>15</v>
      </c>
      <c r="I274" s="12">
        <f t="shared" si="65"/>
        <v>1.25</v>
      </c>
      <c r="J274" s="10">
        <f t="shared" ref="J274" si="74">+C274/I274</f>
        <v>33.6</v>
      </c>
      <c r="K274" s="9"/>
      <c r="L274" s="9"/>
      <c r="M274" s="9"/>
    </row>
    <row r="275" spans="1:13" x14ac:dyDescent="0.3">
      <c r="A275" s="5" t="s">
        <v>509</v>
      </c>
      <c r="B275" s="5" t="s">
        <v>468</v>
      </c>
      <c r="C275" s="5">
        <v>1</v>
      </c>
      <c r="D275" s="6">
        <v>490.27100000000002</v>
      </c>
      <c r="E275" s="7">
        <f t="shared" si="64"/>
        <v>490.27100000000002</v>
      </c>
      <c r="F275" s="5" t="s">
        <v>510</v>
      </c>
      <c r="G275" s="5" t="s">
        <v>9</v>
      </c>
      <c r="H275" s="6">
        <v>9</v>
      </c>
      <c r="I275" s="8">
        <f t="shared" si="65"/>
        <v>0.75</v>
      </c>
      <c r="J275" s="6">
        <f t="shared" si="66"/>
        <v>1.3333333333333333</v>
      </c>
      <c r="K275" s="5"/>
      <c r="L275" s="5"/>
      <c r="M275" s="5"/>
    </row>
    <row r="276" spans="1:13" x14ac:dyDescent="0.3">
      <c r="A276" s="5" t="s">
        <v>511</v>
      </c>
      <c r="B276" s="5" t="s">
        <v>468</v>
      </c>
      <c r="C276" s="5">
        <v>2</v>
      </c>
      <c r="D276" s="6">
        <v>354.63626154000002</v>
      </c>
      <c r="E276" s="7">
        <f t="shared" si="64"/>
        <v>709.27252308000004</v>
      </c>
      <c r="F276" s="5" t="s">
        <v>512</v>
      </c>
      <c r="G276" s="5" t="s">
        <v>9</v>
      </c>
      <c r="H276" s="6">
        <v>13</v>
      </c>
      <c r="I276" s="8">
        <f t="shared" si="65"/>
        <v>1.0833333333333333</v>
      </c>
      <c r="J276" s="6">
        <f t="shared" si="66"/>
        <v>1.8461538461538463</v>
      </c>
      <c r="K276" s="5"/>
      <c r="L276" s="5"/>
      <c r="M276" s="5"/>
    </row>
    <row r="277" spans="1:13" x14ac:dyDescent="0.3">
      <c r="A277" s="5" t="s">
        <v>513</v>
      </c>
      <c r="B277" s="5" t="s">
        <v>468</v>
      </c>
      <c r="C277" s="5">
        <v>21</v>
      </c>
      <c r="D277" s="6">
        <v>181.92685986000001</v>
      </c>
      <c r="E277" s="7">
        <f t="shared" si="64"/>
        <v>3820.46405706</v>
      </c>
      <c r="F277" s="5" t="s">
        <v>514</v>
      </c>
      <c r="G277" s="5" t="s">
        <v>9</v>
      </c>
      <c r="H277" s="6">
        <v>345</v>
      </c>
      <c r="I277" s="8">
        <f t="shared" si="65"/>
        <v>28.75</v>
      </c>
      <c r="J277" s="6">
        <f t="shared" si="66"/>
        <v>0.73043478260869565</v>
      </c>
      <c r="K277" s="5"/>
      <c r="L277" s="5"/>
      <c r="M277" s="5"/>
    </row>
    <row r="278" spans="1:13" x14ac:dyDescent="0.3">
      <c r="A278" s="5" t="s">
        <v>515</v>
      </c>
      <c r="B278" s="5" t="s">
        <v>468</v>
      </c>
      <c r="C278" s="5">
        <v>24</v>
      </c>
      <c r="D278" s="6">
        <v>183.21089565</v>
      </c>
      <c r="E278" s="7">
        <f t="shared" si="64"/>
        <v>4397.0614955999999</v>
      </c>
      <c r="F278" s="5" t="s">
        <v>516</v>
      </c>
      <c r="G278" s="5" t="s">
        <v>9</v>
      </c>
      <c r="H278" s="6">
        <v>49</v>
      </c>
      <c r="I278" s="8">
        <f t="shared" si="65"/>
        <v>4.083333333333333</v>
      </c>
      <c r="J278" s="6">
        <f t="shared" si="66"/>
        <v>5.8775510204081636</v>
      </c>
      <c r="K278" s="5"/>
      <c r="L278" s="5"/>
      <c r="M278" s="5"/>
    </row>
    <row r="279" spans="1:13" x14ac:dyDescent="0.3">
      <c r="A279" s="5" t="s">
        <v>517</v>
      </c>
      <c r="B279" s="5" t="s">
        <v>468</v>
      </c>
      <c r="C279" s="5">
        <v>70</v>
      </c>
      <c r="D279" s="6">
        <v>172.46196825000001</v>
      </c>
      <c r="E279" s="7">
        <f t="shared" si="64"/>
        <v>12072.337777500001</v>
      </c>
      <c r="F279" s="5" t="s">
        <v>514</v>
      </c>
      <c r="G279" s="5" t="s">
        <v>9</v>
      </c>
      <c r="H279" s="6">
        <v>114</v>
      </c>
      <c r="I279" s="8">
        <f>+H279/3.66</f>
        <v>31.147540983606557</v>
      </c>
      <c r="J279" s="6">
        <f t="shared" si="66"/>
        <v>2.2473684210526317</v>
      </c>
      <c r="K279" s="5"/>
      <c r="L279" s="5"/>
      <c r="M279" s="5"/>
    </row>
    <row r="280" spans="1:13" x14ac:dyDescent="0.3">
      <c r="A280" s="5" t="s">
        <v>518</v>
      </c>
      <c r="B280" s="5" t="s">
        <v>468</v>
      </c>
      <c r="C280" s="5">
        <v>10</v>
      </c>
      <c r="D280" s="6">
        <v>183.66685042</v>
      </c>
      <c r="E280" s="7">
        <f t="shared" si="64"/>
        <v>1836.6685041999999</v>
      </c>
      <c r="F280" s="5" t="s">
        <v>519</v>
      </c>
      <c r="G280" s="5" t="s">
        <v>9</v>
      </c>
      <c r="H280" s="6">
        <v>73</v>
      </c>
      <c r="I280" s="8">
        <f t="shared" si="65"/>
        <v>6.083333333333333</v>
      </c>
      <c r="J280" s="6">
        <f t="shared" si="66"/>
        <v>1.6438356164383563</v>
      </c>
      <c r="K280" s="5"/>
      <c r="L280" s="5"/>
      <c r="M280" s="5"/>
    </row>
    <row r="281" spans="1:13" x14ac:dyDescent="0.3">
      <c r="A281" s="5" t="s">
        <v>520</v>
      </c>
      <c r="B281" s="5" t="s">
        <v>468</v>
      </c>
      <c r="C281" s="5">
        <v>2</v>
      </c>
      <c r="D281" s="6">
        <v>188.67199343999999</v>
      </c>
      <c r="E281" s="7">
        <f t="shared" si="64"/>
        <v>377.34398687999999</v>
      </c>
      <c r="F281" s="5" t="s">
        <v>521</v>
      </c>
      <c r="G281" s="5" t="s">
        <v>9</v>
      </c>
      <c r="H281" s="6">
        <v>5</v>
      </c>
      <c r="I281" s="8">
        <f t="shared" si="65"/>
        <v>0.41666666666666669</v>
      </c>
      <c r="J281" s="6">
        <f t="shared" si="66"/>
        <v>4.8</v>
      </c>
      <c r="K281" s="5"/>
      <c r="L281" s="18">
        <v>45940</v>
      </c>
      <c r="M281" s="5" t="s">
        <v>678</v>
      </c>
    </row>
    <row r="282" spans="1:13" x14ac:dyDescent="0.3">
      <c r="A282" s="9" t="s">
        <v>520</v>
      </c>
      <c r="B282" s="9" t="s">
        <v>468</v>
      </c>
      <c r="C282" s="9">
        <f>32-2</f>
        <v>30</v>
      </c>
      <c r="D282" s="10">
        <v>188.67199343999999</v>
      </c>
      <c r="E282" s="11">
        <f t="shared" ref="E282" si="75">+C282*D282</f>
        <v>5660.1598032000002</v>
      </c>
      <c r="F282" s="9" t="s">
        <v>521</v>
      </c>
      <c r="G282" s="9" t="s">
        <v>9</v>
      </c>
      <c r="H282" s="10">
        <v>5</v>
      </c>
      <c r="I282" s="12">
        <f t="shared" si="65"/>
        <v>0.41666666666666669</v>
      </c>
      <c r="J282" s="10">
        <f t="shared" ref="J282" si="76">+C282/I282</f>
        <v>72</v>
      </c>
      <c r="K282" s="9"/>
      <c r="L282" s="17">
        <v>45940</v>
      </c>
      <c r="M282" s="9" t="s">
        <v>678</v>
      </c>
    </row>
    <row r="283" spans="1:13" x14ac:dyDescent="0.3">
      <c r="A283" s="5" t="s">
        <v>522</v>
      </c>
      <c r="B283" s="5" t="s">
        <v>468</v>
      </c>
      <c r="C283" s="5">
        <v>6</v>
      </c>
      <c r="D283" s="6">
        <v>190.42560803000001</v>
      </c>
      <c r="E283" s="7">
        <f t="shared" si="64"/>
        <v>1142.55364818</v>
      </c>
      <c r="F283" s="5" t="s">
        <v>523</v>
      </c>
      <c r="G283" s="5" t="s">
        <v>9</v>
      </c>
      <c r="H283" s="6">
        <v>3</v>
      </c>
      <c r="I283" s="8">
        <f>+H283/2.6</f>
        <v>1.1538461538461537</v>
      </c>
      <c r="J283" s="6">
        <f t="shared" si="66"/>
        <v>5.2</v>
      </c>
      <c r="K283" s="5"/>
      <c r="L283" s="5"/>
      <c r="M283" s="5"/>
    </row>
    <row r="284" spans="1:13" x14ac:dyDescent="0.3">
      <c r="A284" s="9" t="s">
        <v>522</v>
      </c>
      <c r="B284" s="9" t="s">
        <v>468</v>
      </c>
      <c r="C284" s="9">
        <f>108-6</f>
        <v>102</v>
      </c>
      <c r="D284" s="10">
        <v>190.42560803000001</v>
      </c>
      <c r="E284" s="11">
        <f t="shared" ref="E284" si="77">+C284*D284</f>
        <v>19423.412019060001</v>
      </c>
      <c r="F284" s="9" t="s">
        <v>523</v>
      </c>
      <c r="G284" s="9" t="s">
        <v>9</v>
      </c>
      <c r="H284" s="10">
        <v>3</v>
      </c>
      <c r="I284" s="12">
        <f>+H284/2.6</f>
        <v>1.1538461538461537</v>
      </c>
      <c r="J284" s="10">
        <f t="shared" ref="J284" si="78">+C284/I284</f>
        <v>88.4</v>
      </c>
      <c r="K284" s="9"/>
      <c r="L284" s="9"/>
      <c r="M284" s="9"/>
    </row>
    <row r="285" spans="1:13" x14ac:dyDescent="0.3">
      <c r="A285" s="13" t="s">
        <v>524</v>
      </c>
      <c r="B285" s="13" t="s">
        <v>468</v>
      </c>
      <c r="C285" s="13">
        <v>10</v>
      </c>
      <c r="D285" s="14">
        <v>515.32360000000006</v>
      </c>
      <c r="E285" s="15">
        <f t="shared" si="64"/>
        <v>5153.2360000000008</v>
      </c>
      <c r="F285" s="13" t="s">
        <v>525</v>
      </c>
      <c r="G285" s="13" t="s">
        <v>9</v>
      </c>
      <c r="H285" s="14">
        <v>0</v>
      </c>
      <c r="I285" s="16">
        <f t="shared" si="65"/>
        <v>0</v>
      </c>
      <c r="J285" s="14" t="e">
        <f t="shared" si="66"/>
        <v>#DIV/0!</v>
      </c>
      <c r="K285" s="13"/>
      <c r="L285" s="13"/>
      <c r="M285" s="13"/>
    </row>
    <row r="286" spans="1:13" x14ac:dyDescent="0.3">
      <c r="A286" s="13" t="s">
        <v>526</v>
      </c>
      <c r="B286" s="13" t="s">
        <v>468</v>
      </c>
      <c r="C286" s="13">
        <v>3</v>
      </c>
      <c r="D286" s="14">
        <v>632.55809999999997</v>
      </c>
      <c r="E286" s="15">
        <f t="shared" si="64"/>
        <v>1897.6742999999999</v>
      </c>
      <c r="F286" s="13" t="s">
        <v>527</v>
      </c>
      <c r="G286" s="13" t="s">
        <v>9</v>
      </c>
      <c r="H286" s="14">
        <v>0</v>
      </c>
      <c r="I286" s="16">
        <f t="shared" si="65"/>
        <v>0</v>
      </c>
      <c r="J286" s="14" t="e">
        <f t="shared" si="66"/>
        <v>#DIV/0!</v>
      </c>
      <c r="K286" s="13"/>
      <c r="L286" s="13"/>
      <c r="M286" s="13"/>
    </row>
    <row r="287" spans="1:13" x14ac:dyDescent="0.3">
      <c r="A287" s="13" t="s">
        <v>528</v>
      </c>
      <c r="B287" s="13" t="s">
        <v>468</v>
      </c>
      <c r="C287" s="13">
        <v>1</v>
      </c>
      <c r="D287" s="14">
        <v>1487.2692</v>
      </c>
      <c r="E287" s="15">
        <f t="shared" si="64"/>
        <v>1487.2692</v>
      </c>
      <c r="F287" s="13" t="s">
        <v>529</v>
      </c>
      <c r="G287" s="13" t="s">
        <v>9</v>
      </c>
      <c r="H287" s="14">
        <v>0</v>
      </c>
      <c r="I287" s="16">
        <f t="shared" si="65"/>
        <v>0</v>
      </c>
      <c r="J287" s="14" t="e">
        <f t="shared" si="66"/>
        <v>#DIV/0!</v>
      </c>
      <c r="K287" s="13"/>
      <c r="L287" s="13"/>
      <c r="M287" s="13"/>
    </row>
    <row r="288" spans="1:13" x14ac:dyDescent="0.3">
      <c r="A288" s="5" t="s">
        <v>530</v>
      </c>
      <c r="B288" s="5" t="s">
        <v>468</v>
      </c>
      <c r="C288" s="5">
        <v>5</v>
      </c>
      <c r="D288" s="6">
        <v>572.22743889000003</v>
      </c>
      <c r="E288" s="7">
        <f t="shared" si="64"/>
        <v>2861.1371944500002</v>
      </c>
      <c r="F288" s="5" t="s">
        <v>531</v>
      </c>
      <c r="G288" s="5" t="s">
        <v>9</v>
      </c>
      <c r="H288" s="6">
        <v>12</v>
      </c>
      <c r="I288" s="8">
        <f t="shared" si="65"/>
        <v>1</v>
      </c>
      <c r="J288" s="6">
        <f t="shared" si="66"/>
        <v>5</v>
      </c>
      <c r="K288" s="5"/>
      <c r="L288" s="18">
        <v>45999</v>
      </c>
      <c r="M288" s="5" t="s">
        <v>679</v>
      </c>
    </row>
    <row r="289" spans="1:13" x14ac:dyDescent="0.3">
      <c r="A289" s="9" t="s">
        <v>530</v>
      </c>
      <c r="B289" s="9" t="s">
        <v>468</v>
      </c>
      <c r="C289" s="9">
        <f>23-5</f>
        <v>18</v>
      </c>
      <c r="D289" s="10">
        <v>572.22743889000003</v>
      </c>
      <c r="E289" s="11">
        <f t="shared" ref="E289" si="79">+C289*D289</f>
        <v>10300.093900020001</v>
      </c>
      <c r="F289" s="9" t="s">
        <v>531</v>
      </c>
      <c r="G289" s="9" t="s">
        <v>9</v>
      </c>
      <c r="H289" s="10">
        <v>12</v>
      </c>
      <c r="I289" s="12">
        <f t="shared" si="65"/>
        <v>1</v>
      </c>
      <c r="J289" s="10">
        <f t="shared" ref="J289" si="80">+C289/I289</f>
        <v>18</v>
      </c>
      <c r="K289" s="9"/>
      <c r="L289" s="17">
        <v>45999</v>
      </c>
      <c r="M289" s="9" t="s">
        <v>679</v>
      </c>
    </row>
    <row r="290" spans="1:13" x14ac:dyDescent="0.3">
      <c r="A290" s="13" t="s">
        <v>532</v>
      </c>
      <c r="B290" s="13" t="s">
        <v>468</v>
      </c>
      <c r="C290" s="13">
        <v>4</v>
      </c>
      <c r="D290" s="14">
        <v>243.4794</v>
      </c>
      <c r="E290" s="15">
        <f t="shared" si="64"/>
        <v>973.91759999999999</v>
      </c>
      <c r="F290" s="13" t="s">
        <v>533</v>
      </c>
      <c r="G290" s="13" t="s">
        <v>9</v>
      </c>
      <c r="H290" s="14">
        <v>0</v>
      </c>
      <c r="I290" s="16">
        <f t="shared" si="65"/>
        <v>0</v>
      </c>
      <c r="J290" s="14" t="e">
        <f t="shared" si="66"/>
        <v>#DIV/0!</v>
      </c>
      <c r="K290" s="13"/>
      <c r="L290" s="13"/>
      <c r="M290" s="13"/>
    </row>
    <row r="291" spans="1:13" x14ac:dyDescent="0.3">
      <c r="A291" s="13" t="s">
        <v>534</v>
      </c>
      <c r="B291" s="13" t="s">
        <v>468</v>
      </c>
      <c r="C291" s="13">
        <v>1</v>
      </c>
      <c r="D291" s="14">
        <v>3153.9332203099998</v>
      </c>
      <c r="E291" s="15">
        <f t="shared" si="64"/>
        <v>3153.9332203099998</v>
      </c>
      <c r="F291" s="13" t="s">
        <v>535</v>
      </c>
      <c r="G291" s="13" t="s">
        <v>9</v>
      </c>
      <c r="H291" s="14">
        <v>0</v>
      </c>
      <c r="I291" s="16">
        <f t="shared" si="65"/>
        <v>0</v>
      </c>
      <c r="J291" s="14" t="e">
        <f t="shared" si="66"/>
        <v>#DIV/0!</v>
      </c>
      <c r="K291" s="13"/>
      <c r="L291" s="13"/>
      <c r="M291" s="13"/>
    </row>
    <row r="292" spans="1:13" x14ac:dyDescent="0.3">
      <c r="A292" s="5" t="s">
        <v>536</v>
      </c>
      <c r="B292" s="5" t="s">
        <v>468</v>
      </c>
      <c r="C292" s="5">
        <v>84</v>
      </c>
      <c r="D292" s="6">
        <v>2574.6470109000002</v>
      </c>
      <c r="E292" s="7">
        <f t="shared" ref="E292:E364" si="81">+C292*D292</f>
        <v>216270.34891560001</v>
      </c>
      <c r="F292" s="5" t="s">
        <v>537</v>
      </c>
      <c r="G292" s="5" t="s">
        <v>9</v>
      </c>
      <c r="H292" s="6">
        <v>236</v>
      </c>
      <c r="I292" s="8">
        <f t="shared" ref="I292:I364" si="82">+H292/12</f>
        <v>19.666666666666668</v>
      </c>
      <c r="J292" s="6">
        <f t="shared" ref="J292:J364" si="83">+C292/I292</f>
        <v>4.2711864406779663</v>
      </c>
      <c r="K292" s="5"/>
      <c r="L292" s="5"/>
      <c r="M292" s="5"/>
    </row>
    <row r="293" spans="1:13" x14ac:dyDescent="0.3">
      <c r="A293" s="5" t="s">
        <v>538</v>
      </c>
      <c r="B293" s="5" t="s">
        <v>468</v>
      </c>
      <c r="C293" s="5">
        <v>18</v>
      </c>
      <c r="D293" s="6">
        <v>2269.7493445499999</v>
      </c>
      <c r="E293" s="7">
        <f t="shared" si="81"/>
        <v>40855.4882019</v>
      </c>
      <c r="F293" s="5" t="s">
        <v>539</v>
      </c>
      <c r="G293" s="5" t="s">
        <v>9</v>
      </c>
      <c r="H293" s="6">
        <v>64</v>
      </c>
      <c r="I293" s="8">
        <f t="shared" si="82"/>
        <v>5.333333333333333</v>
      </c>
      <c r="J293" s="6">
        <f t="shared" si="83"/>
        <v>3.375</v>
      </c>
      <c r="K293" s="5"/>
      <c r="L293" s="5"/>
      <c r="M293" s="5"/>
    </row>
    <row r="294" spans="1:13" x14ac:dyDescent="0.3">
      <c r="A294" s="5" t="s">
        <v>540</v>
      </c>
      <c r="B294" s="5" t="s">
        <v>468</v>
      </c>
      <c r="C294" s="5">
        <v>9</v>
      </c>
      <c r="D294" s="6">
        <v>181.90747826</v>
      </c>
      <c r="E294" s="7">
        <f t="shared" si="81"/>
        <v>1637.1673043400001</v>
      </c>
      <c r="F294" s="5" t="s">
        <v>541</v>
      </c>
      <c r="G294" s="5" t="s">
        <v>9</v>
      </c>
      <c r="H294" s="6">
        <v>20</v>
      </c>
      <c r="I294" s="8">
        <f t="shared" si="82"/>
        <v>1.6666666666666667</v>
      </c>
      <c r="J294" s="6">
        <f t="shared" si="83"/>
        <v>5.3999999999999995</v>
      </c>
      <c r="K294" s="5"/>
      <c r="L294" s="18">
        <v>46042</v>
      </c>
      <c r="M294" s="5" t="s">
        <v>679</v>
      </c>
    </row>
    <row r="295" spans="1:13" x14ac:dyDescent="0.3">
      <c r="A295" s="9" t="s">
        <v>540</v>
      </c>
      <c r="B295" s="9" t="s">
        <v>468</v>
      </c>
      <c r="C295" s="9">
        <f>21-9</f>
        <v>12</v>
      </c>
      <c r="D295" s="10">
        <v>181.90747826</v>
      </c>
      <c r="E295" s="11">
        <f t="shared" ref="E295" si="84">+C295*D295</f>
        <v>2182.8897391199998</v>
      </c>
      <c r="F295" s="9" t="s">
        <v>541</v>
      </c>
      <c r="G295" s="9" t="s">
        <v>9</v>
      </c>
      <c r="H295" s="10">
        <v>20</v>
      </c>
      <c r="I295" s="12">
        <f t="shared" si="82"/>
        <v>1.6666666666666667</v>
      </c>
      <c r="J295" s="10">
        <f t="shared" ref="J295" si="85">+C295/I295</f>
        <v>7.1999999999999993</v>
      </c>
      <c r="K295" s="9"/>
      <c r="L295" s="17">
        <v>46042</v>
      </c>
      <c r="M295" s="9" t="s">
        <v>679</v>
      </c>
    </row>
    <row r="296" spans="1:13" x14ac:dyDescent="0.3">
      <c r="A296" s="5" t="s">
        <v>542</v>
      </c>
      <c r="B296" s="5" t="s">
        <v>468</v>
      </c>
      <c r="C296" s="5">
        <v>80</v>
      </c>
      <c r="D296" s="6">
        <v>5787.1090753899998</v>
      </c>
      <c r="E296" s="7">
        <f t="shared" si="81"/>
        <v>462968.72603119997</v>
      </c>
      <c r="F296" s="5" t="s">
        <v>543</v>
      </c>
      <c r="G296" s="5" t="s">
        <v>9</v>
      </c>
      <c r="H296" s="6">
        <v>376</v>
      </c>
      <c r="I296" s="8">
        <f t="shared" si="82"/>
        <v>31.333333333333332</v>
      </c>
      <c r="J296" s="6">
        <f t="shared" si="83"/>
        <v>2.5531914893617023</v>
      </c>
      <c r="K296" s="5"/>
      <c r="L296" s="5"/>
      <c r="M296" s="5"/>
    </row>
    <row r="297" spans="1:13" x14ac:dyDescent="0.3">
      <c r="A297" s="5" t="s">
        <v>544</v>
      </c>
      <c r="B297" s="5" t="s">
        <v>468</v>
      </c>
      <c r="C297" s="5">
        <v>13</v>
      </c>
      <c r="D297" s="6">
        <v>206.38249999999999</v>
      </c>
      <c r="E297" s="7">
        <f t="shared" si="81"/>
        <v>2682.9724999999999</v>
      </c>
      <c r="F297" s="5" t="s">
        <v>545</v>
      </c>
      <c r="G297" s="5" t="s">
        <v>9</v>
      </c>
      <c r="H297" s="6">
        <v>7</v>
      </c>
      <c r="I297" s="8">
        <f>+H297/1</f>
        <v>7</v>
      </c>
      <c r="J297" s="6">
        <f t="shared" si="83"/>
        <v>1.8571428571428572</v>
      </c>
      <c r="K297" s="5"/>
      <c r="L297" s="18">
        <v>46042</v>
      </c>
      <c r="M297" s="5" t="s">
        <v>673</v>
      </c>
    </row>
    <row r="298" spans="1:13" x14ac:dyDescent="0.3">
      <c r="A298" s="13" t="s">
        <v>546</v>
      </c>
      <c r="B298" s="13" t="s">
        <v>468</v>
      </c>
      <c r="C298" s="13">
        <v>1</v>
      </c>
      <c r="D298" s="14">
        <v>3893.1378</v>
      </c>
      <c r="E298" s="15">
        <f t="shared" si="81"/>
        <v>3893.1378</v>
      </c>
      <c r="F298" s="13" t="s">
        <v>547</v>
      </c>
      <c r="G298" s="13" t="s">
        <v>9</v>
      </c>
      <c r="H298" s="14">
        <v>0</v>
      </c>
      <c r="I298" s="16">
        <f t="shared" si="82"/>
        <v>0</v>
      </c>
      <c r="J298" s="14" t="e">
        <f t="shared" si="83"/>
        <v>#DIV/0!</v>
      </c>
      <c r="K298" s="13"/>
      <c r="L298" s="13"/>
      <c r="M298" s="13"/>
    </row>
    <row r="299" spans="1:13" x14ac:dyDescent="0.3">
      <c r="A299" s="13" t="s">
        <v>548</v>
      </c>
      <c r="B299" s="13" t="s">
        <v>468</v>
      </c>
      <c r="C299" s="13">
        <v>1</v>
      </c>
      <c r="D299" s="14">
        <v>15168.429</v>
      </c>
      <c r="E299" s="15">
        <f t="shared" si="81"/>
        <v>15168.429</v>
      </c>
      <c r="F299" s="13" t="s">
        <v>549</v>
      </c>
      <c r="G299" s="13" t="s">
        <v>9</v>
      </c>
      <c r="H299" s="14">
        <v>0</v>
      </c>
      <c r="I299" s="16">
        <f t="shared" si="82"/>
        <v>0</v>
      </c>
      <c r="J299" s="14" t="e">
        <f t="shared" si="83"/>
        <v>#DIV/0!</v>
      </c>
      <c r="K299" s="13"/>
      <c r="L299" s="13"/>
      <c r="M299" s="13"/>
    </row>
    <row r="300" spans="1:13" x14ac:dyDescent="0.3">
      <c r="A300" s="5" t="s">
        <v>550</v>
      </c>
      <c r="B300" s="5" t="s">
        <v>468</v>
      </c>
      <c r="C300" s="5">
        <v>87</v>
      </c>
      <c r="D300" s="6">
        <v>7179.7212635300002</v>
      </c>
      <c r="E300" s="7">
        <f t="shared" si="81"/>
        <v>624635.74992711004</v>
      </c>
      <c r="F300" s="5" t="s">
        <v>551</v>
      </c>
      <c r="G300" s="5" t="s">
        <v>9</v>
      </c>
      <c r="H300" s="6">
        <v>332</v>
      </c>
      <c r="I300" s="8">
        <f t="shared" si="82"/>
        <v>27.666666666666668</v>
      </c>
      <c r="J300" s="6">
        <f t="shared" si="83"/>
        <v>3.1445783132530121</v>
      </c>
      <c r="K300" s="5"/>
      <c r="L300" s="5"/>
      <c r="M300" s="5"/>
    </row>
    <row r="301" spans="1:13" x14ac:dyDescent="0.3">
      <c r="A301" s="5" t="s">
        <v>552</v>
      </c>
      <c r="B301" s="5" t="s">
        <v>468</v>
      </c>
      <c r="C301" s="5">
        <v>86</v>
      </c>
      <c r="D301" s="6">
        <v>11072.737124679999</v>
      </c>
      <c r="E301" s="7">
        <f t="shared" si="81"/>
        <v>952255.39272248</v>
      </c>
      <c r="F301" s="5" t="s">
        <v>553</v>
      </c>
      <c r="G301" s="5" t="s">
        <v>9</v>
      </c>
      <c r="H301" s="6">
        <v>555</v>
      </c>
      <c r="I301" s="8">
        <f t="shared" si="82"/>
        <v>46.25</v>
      </c>
      <c r="J301" s="6">
        <f t="shared" si="83"/>
        <v>1.8594594594594596</v>
      </c>
      <c r="K301" s="5"/>
      <c r="L301" s="5"/>
      <c r="M301" s="5"/>
    </row>
    <row r="302" spans="1:13" x14ac:dyDescent="0.3">
      <c r="A302" s="5" t="s">
        <v>554</v>
      </c>
      <c r="B302" s="5" t="s">
        <v>468</v>
      </c>
      <c r="C302" s="5">
        <v>2</v>
      </c>
      <c r="D302" s="6">
        <v>35787.905287920003</v>
      </c>
      <c r="E302" s="7">
        <f t="shared" si="81"/>
        <v>71575.810575840005</v>
      </c>
      <c r="F302" s="5" t="s">
        <v>555</v>
      </c>
      <c r="G302" s="5" t="s">
        <v>9</v>
      </c>
      <c r="H302" s="6">
        <v>0</v>
      </c>
      <c r="I302" s="8">
        <f t="shared" si="82"/>
        <v>0</v>
      </c>
      <c r="J302" s="6" t="e">
        <f t="shared" si="83"/>
        <v>#DIV/0!</v>
      </c>
      <c r="K302" s="5"/>
      <c r="L302" s="5"/>
      <c r="M302" s="5" t="s">
        <v>556</v>
      </c>
    </row>
    <row r="303" spans="1:13" x14ac:dyDescent="0.3">
      <c r="A303" s="5" t="s">
        <v>556</v>
      </c>
      <c r="B303" s="5" t="s">
        <v>468</v>
      </c>
      <c r="C303" s="5">
        <v>35</v>
      </c>
      <c r="D303" s="6">
        <v>31522.976795850002</v>
      </c>
      <c r="E303" s="7">
        <f t="shared" si="81"/>
        <v>1103304.1878547501</v>
      </c>
      <c r="F303" s="5" t="s">
        <v>557</v>
      </c>
      <c r="G303" s="5" t="s">
        <v>9</v>
      </c>
      <c r="H303" s="6">
        <v>180</v>
      </c>
      <c r="I303" s="8">
        <f t="shared" si="82"/>
        <v>15</v>
      </c>
      <c r="J303" s="6">
        <f t="shared" si="83"/>
        <v>2.3333333333333335</v>
      </c>
      <c r="K303" s="5"/>
      <c r="L303" s="5"/>
      <c r="M303" s="5"/>
    </row>
    <row r="304" spans="1:13" x14ac:dyDescent="0.3">
      <c r="A304" s="5" t="s">
        <v>558</v>
      </c>
      <c r="B304" s="5" t="s">
        <v>468</v>
      </c>
      <c r="C304" s="5">
        <v>3</v>
      </c>
      <c r="D304" s="6">
        <v>26441.467199999999</v>
      </c>
      <c r="E304" s="7">
        <f t="shared" si="81"/>
        <v>79324.401599999997</v>
      </c>
      <c r="F304" s="5" t="s">
        <v>559</v>
      </c>
      <c r="G304" s="5" t="s">
        <v>9</v>
      </c>
      <c r="H304" s="6">
        <v>30</v>
      </c>
      <c r="I304" s="8">
        <f t="shared" si="82"/>
        <v>2.5</v>
      </c>
      <c r="J304" s="6">
        <f t="shared" si="83"/>
        <v>1.2</v>
      </c>
      <c r="K304" s="5"/>
      <c r="L304" s="5"/>
      <c r="M304" s="5"/>
    </row>
    <row r="305" spans="1:13" x14ac:dyDescent="0.3">
      <c r="A305" s="5" t="s">
        <v>560</v>
      </c>
      <c r="B305" s="5" t="s">
        <v>468</v>
      </c>
      <c r="C305" s="5">
        <v>11</v>
      </c>
      <c r="D305" s="6">
        <v>16639.85061234</v>
      </c>
      <c r="E305" s="7">
        <f t="shared" si="81"/>
        <v>183038.35673574</v>
      </c>
      <c r="F305" s="5" t="s">
        <v>561</v>
      </c>
      <c r="G305" s="5" t="s">
        <v>9</v>
      </c>
      <c r="H305" s="6">
        <v>65</v>
      </c>
      <c r="I305" s="8">
        <f t="shared" si="82"/>
        <v>5.416666666666667</v>
      </c>
      <c r="J305" s="6">
        <f t="shared" si="83"/>
        <v>2.0307692307692307</v>
      </c>
      <c r="K305" s="5"/>
      <c r="L305" s="5"/>
      <c r="M305" s="5"/>
    </row>
    <row r="306" spans="1:13" x14ac:dyDescent="0.3">
      <c r="A306" s="13" t="s">
        <v>562</v>
      </c>
      <c r="B306" s="13" t="s">
        <v>468</v>
      </c>
      <c r="C306" s="13">
        <v>1</v>
      </c>
      <c r="D306" s="14">
        <v>2974.5383999999999</v>
      </c>
      <c r="E306" s="15">
        <f t="shared" si="81"/>
        <v>2974.5383999999999</v>
      </c>
      <c r="F306" s="13" t="s">
        <v>563</v>
      </c>
      <c r="G306" s="13" t="s">
        <v>9</v>
      </c>
      <c r="H306" s="14">
        <v>0</v>
      </c>
      <c r="I306" s="16">
        <f t="shared" si="82"/>
        <v>0</v>
      </c>
      <c r="J306" s="14" t="e">
        <f t="shared" si="83"/>
        <v>#DIV/0!</v>
      </c>
      <c r="K306" s="13"/>
      <c r="L306" s="13"/>
      <c r="M306" s="13"/>
    </row>
    <row r="307" spans="1:13" x14ac:dyDescent="0.3">
      <c r="A307" s="5" t="s">
        <v>564</v>
      </c>
      <c r="B307" s="5" t="s">
        <v>565</v>
      </c>
      <c r="C307" s="5">
        <f>85*5</f>
        <v>425</v>
      </c>
      <c r="D307" s="6">
        <v>257.69284150999999</v>
      </c>
      <c r="E307" s="7">
        <f t="shared" si="81"/>
        <v>109519.45764174999</v>
      </c>
      <c r="F307" s="5" t="s">
        <v>566</v>
      </c>
      <c r="G307" s="5" t="s">
        <v>9</v>
      </c>
      <c r="H307" s="6">
        <v>1003</v>
      </c>
      <c r="I307" s="8">
        <f t="shared" si="82"/>
        <v>83.583333333333329</v>
      </c>
      <c r="J307" s="6">
        <f t="shared" si="83"/>
        <v>5.0847457627118651</v>
      </c>
      <c r="K307" s="5"/>
      <c r="L307" s="18">
        <v>45937</v>
      </c>
      <c r="M307" s="5" t="s">
        <v>684</v>
      </c>
    </row>
    <row r="308" spans="1:13" x14ac:dyDescent="0.3">
      <c r="A308" s="9" t="s">
        <v>564</v>
      </c>
      <c r="B308" s="9" t="s">
        <v>565</v>
      </c>
      <c r="C308" s="9">
        <f>1455-425</f>
        <v>1030</v>
      </c>
      <c r="D308" s="10">
        <v>257.69284150999999</v>
      </c>
      <c r="E308" s="11">
        <f t="shared" ref="E308" si="86">+C308*D308</f>
        <v>265423.62675529998</v>
      </c>
      <c r="F308" s="9" t="s">
        <v>566</v>
      </c>
      <c r="G308" s="9" t="s">
        <v>9</v>
      </c>
      <c r="H308" s="10">
        <v>1003</v>
      </c>
      <c r="I308" s="12">
        <f t="shared" si="82"/>
        <v>83.583333333333329</v>
      </c>
      <c r="J308" s="10">
        <f t="shared" ref="J308" si="87">+C308/I308</f>
        <v>12.323030907278167</v>
      </c>
      <c r="K308" s="9"/>
      <c r="L308" s="17">
        <v>45937</v>
      </c>
      <c r="M308" s="9" t="s">
        <v>684</v>
      </c>
    </row>
    <row r="309" spans="1:13" x14ac:dyDescent="0.3">
      <c r="A309" s="5" t="s">
        <v>567</v>
      </c>
      <c r="B309" s="5" t="s">
        <v>565</v>
      </c>
      <c r="C309" s="5">
        <v>500</v>
      </c>
      <c r="D309" s="6">
        <v>329.82556926000001</v>
      </c>
      <c r="E309" s="7">
        <f t="shared" si="81"/>
        <v>164912.78463000001</v>
      </c>
      <c r="F309" s="5" t="s">
        <v>568</v>
      </c>
      <c r="G309" s="5" t="s">
        <v>9</v>
      </c>
      <c r="H309" s="6">
        <v>1199</v>
      </c>
      <c r="I309" s="8">
        <f t="shared" si="82"/>
        <v>99.916666666666671</v>
      </c>
      <c r="J309" s="6">
        <f t="shared" si="83"/>
        <v>5.0041701417848206</v>
      </c>
      <c r="K309" s="5"/>
      <c r="L309" s="5"/>
      <c r="M309" s="5"/>
    </row>
    <row r="310" spans="1:13" x14ac:dyDescent="0.3">
      <c r="A310" s="9" t="s">
        <v>567</v>
      </c>
      <c r="B310" s="9" t="s">
        <v>565</v>
      </c>
      <c r="C310" s="9">
        <f>702-500</f>
        <v>202</v>
      </c>
      <c r="D310" s="10">
        <v>329.82556926000001</v>
      </c>
      <c r="E310" s="11">
        <f t="shared" ref="E310" si="88">+C310*D310</f>
        <v>66624.764990520009</v>
      </c>
      <c r="F310" s="9" t="s">
        <v>568</v>
      </c>
      <c r="G310" s="9" t="s">
        <v>9</v>
      </c>
      <c r="H310" s="10">
        <v>1199</v>
      </c>
      <c r="I310" s="12">
        <f t="shared" ref="I310" si="89">+H310/12</f>
        <v>99.916666666666671</v>
      </c>
      <c r="J310" s="10">
        <f t="shared" ref="J310" si="90">+C310/I310</f>
        <v>2.0216847372810673</v>
      </c>
      <c r="K310" s="9"/>
      <c r="L310" s="9"/>
      <c r="M310" s="9"/>
    </row>
    <row r="311" spans="1:13" x14ac:dyDescent="0.3">
      <c r="A311" s="5" t="s">
        <v>569</v>
      </c>
      <c r="B311" s="5" t="s">
        <v>565</v>
      </c>
      <c r="C311" s="5">
        <v>99</v>
      </c>
      <c r="D311" s="6">
        <v>385.16511221000002</v>
      </c>
      <c r="E311" s="7">
        <f t="shared" si="81"/>
        <v>38131.34610879</v>
      </c>
      <c r="F311" s="5" t="s">
        <v>570</v>
      </c>
      <c r="G311" s="5" t="s">
        <v>9</v>
      </c>
      <c r="H311" s="6">
        <v>378</v>
      </c>
      <c r="I311" s="8">
        <f t="shared" si="82"/>
        <v>31.5</v>
      </c>
      <c r="J311" s="6">
        <f t="shared" si="83"/>
        <v>3.1428571428571428</v>
      </c>
      <c r="K311" s="5"/>
      <c r="L311" s="5"/>
      <c r="M311" s="5"/>
    </row>
    <row r="312" spans="1:13" x14ac:dyDescent="0.3">
      <c r="A312" s="5" t="s">
        <v>571</v>
      </c>
      <c r="B312" s="5" t="s">
        <v>565</v>
      </c>
      <c r="C312" s="5">
        <v>30</v>
      </c>
      <c r="D312" s="6">
        <v>130.91882817000001</v>
      </c>
      <c r="E312" s="7">
        <f t="shared" si="81"/>
        <v>3927.5648451000002</v>
      </c>
      <c r="F312" s="5" t="s">
        <v>572</v>
      </c>
      <c r="G312" s="5" t="s">
        <v>9</v>
      </c>
      <c r="H312" s="6">
        <v>69</v>
      </c>
      <c r="I312" s="8">
        <f t="shared" si="82"/>
        <v>5.75</v>
      </c>
      <c r="J312" s="6">
        <f t="shared" si="83"/>
        <v>5.2173913043478262</v>
      </c>
      <c r="K312" s="5"/>
      <c r="L312" s="5"/>
      <c r="M312" s="5"/>
    </row>
    <row r="313" spans="1:13" x14ac:dyDescent="0.3">
      <c r="A313" s="9" t="s">
        <v>571</v>
      </c>
      <c r="B313" s="9" t="s">
        <v>565</v>
      </c>
      <c r="C313" s="9">
        <f>58-30</f>
        <v>28</v>
      </c>
      <c r="D313" s="10">
        <v>130.91882817000001</v>
      </c>
      <c r="E313" s="11">
        <f t="shared" ref="E313" si="91">+C313*D313</f>
        <v>3665.7271887600004</v>
      </c>
      <c r="F313" s="9" t="s">
        <v>572</v>
      </c>
      <c r="G313" s="9" t="s">
        <v>9</v>
      </c>
      <c r="H313" s="10">
        <v>69</v>
      </c>
      <c r="I313" s="12">
        <f t="shared" ref="I313" si="92">+H313/12</f>
        <v>5.75</v>
      </c>
      <c r="J313" s="10">
        <f t="shared" ref="J313" si="93">+C313/I313</f>
        <v>4.8695652173913047</v>
      </c>
      <c r="K313" s="9"/>
      <c r="L313" s="9"/>
      <c r="M313" s="9"/>
    </row>
    <row r="314" spans="1:13" x14ac:dyDescent="0.3">
      <c r="A314" s="5" t="s">
        <v>573</v>
      </c>
      <c r="B314" s="5" t="s">
        <v>565</v>
      </c>
      <c r="C314" s="5">
        <v>2</v>
      </c>
      <c r="D314" s="6">
        <v>108.0859</v>
      </c>
      <c r="E314" s="7">
        <f t="shared" si="81"/>
        <v>216.17179999999999</v>
      </c>
      <c r="F314" s="5" t="s">
        <v>574</v>
      </c>
      <c r="G314" s="5" t="s">
        <v>9</v>
      </c>
      <c r="H314" s="6">
        <v>106</v>
      </c>
      <c r="I314" s="8">
        <f t="shared" si="82"/>
        <v>8.8333333333333339</v>
      </c>
      <c r="J314" s="6">
        <f t="shared" si="83"/>
        <v>0.22641509433962262</v>
      </c>
      <c r="K314" s="5"/>
      <c r="L314" s="5"/>
      <c r="M314" s="5"/>
    </row>
    <row r="315" spans="1:13" x14ac:dyDescent="0.3">
      <c r="A315" s="5" t="s">
        <v>575</v>
      </c>
      <c r="B315" s="5" t="s">
        <v>565</v>
      </c>
      <c r="C315" s="5">
        <f>111*5</f>
        <v>555</v>
      </c>
      <c r="D315" s="6">
        <v>105.79868897999999</v>
      </c>
      <c r="E315" s="7">
        <f t="shared" si="81"/>
        <v>58718.272383899995</v>
      </c>
      <c r="F315" s="5" t="s">
        <v>576</v>
      </c>
      <c r="G315" s="5" t="s">
        <v>9</v>
      </c>
      <c r="H315" s="6">
        <v>1326</v>
      </c>
      <c r="I315" s="8">
        <f t="shared" si="82"/>
        <v>110.5</v>
      </c>
      <c r="J315" s="6">
        <f t="shared" si="83"/>
        <v>5.0226244343891402</v>
      </c>
      <c r="K315" s="5"/>
      <c r="L315" s="5"/>
      <c r="M315" s="5"/>
    </row>
    <row r="316" spans="1:13" x14ac:dyDescent="0.3">
      <c r="A316" s="9" t="s">
        <v>575</v>
      </c>
      <c r="B316" s="9" t="s">
        <v>565</v>
      </c>
      <c r="C316" s="9">
        <f>867-555</f>
        <v>312</v>
      </c>
      <c r="D316" s="10">
        <v>105.79868897999999</v>
      </c>
      <c r="E316" s="11">
        <f t="shared" ref="E316" si="94">+C316*D316</f>
        <v>33009.190961759996</v>
      </c>
      <c r="F316" s="9" t="s">
        <v>576</v>
      </c>
      <c r="G316" s="9" t="s">
        <v>9</v>
      </c>
      <c r="H316" s="10">
        <v>1326</v>
      </c>
      <c r="I316" s="12">
        <f t="shared" ref="I316" si="95">+H316/12</f>
        <v>110.5</v>
      </c>
      <c r="J316" s="10">
        <f t="shared" ref="J316" si="96">+C316/I316</f>
        <v>2.8235294117647061</v>
      </c>
      <c r="K316" s="9"/>
      <c r="L316" s="9"/>
      <c r="M316" s="9"/>
    </row>
    <row r="317" spans="1:13" x14ac:dyDescent="0.3">
      <c r="A317" s="5" t="s">
        <v>577</v>
      </c>
      <c r="B317" s="5" t="s">
        <v>565</v>
      </c>
      <c r="C317" s="5">
        <f>270*5</f>
        <v>1350</v>
      </c>
      <c r="D317" s="6">
        <v>127.57777302</v>
      </c>
      <c r="E317" s="7">
        <f t="shared" si="81"/>
        <v>172229.99357699999</v>
      </c>
      <c r="F317" s="5" t="s">
        <v>578</v>
      </c>
      <c r="G317" s="5" t="s">
        <v>9</v>
      </c>
      <c r="H317" s="6">
        <v>3208</v>
      </c>
      <c r="I317" s="8">
        <f t="shared" si="82"/>
        <v>267.33333333333331</v>
      </c>
      <c r="J317" s="6">
        <f t="shared" si="83"/>
        <v>5.0498753117206983</v>
      </c>
      <c r="K317" s="5"/>
      <c r="L317" s="5"/>
      <c r="M317" s="5"/>
    </row>
    <row r="318" spans="1:13" x14ac:dyDescent="0.3">
      <c r="A318" s="9" t="s">
        <v>577</v>
      </c>
      <c r="B318" s="9" t="s">
        <v>565</v>
      </c>
      <c r="C318" s="9">
        <f>3742-1350</f>
        <v>2392</v>
      </c>
      <c r="D318" s="10">
        <v>127.57777302</v>
      </c>
      <c r="E318" s="11">
        <f t="shared" ref="E318" si="97">+C318*D318</f>
        <v>305166.03306384</v>
      </c>
      <c r="F318" s="9" t="s">
        <v>578</v>
      </c>
      <c r="G318" s="9" t="s">
        <v>9</v>
      </c>
      <c r="H318" s="10">
        <v>3208</v>
      </c>
      <c r="I318" s="12">
        <f t="shared" ref="I318" si="98">+H318/12</f>
        <v>267.33333333333331</v>
      </c>
      <c r="J318" s="10">
        <f t="shared" ref="J318" si="99">+C318/I318</f>
        <v>8.9476309226932678</v>
      </c>
      <c r="K318" s="9"/>
      <c r="L318" s="9"/>
      <c r="M318" s="9"/>
    </row>
    <row r="319" spans="1:13" x14ac:dyDescent="0.3">
      <c r="A319" s="5" t="s">
        <v>579</v>
      </c>
      <c r="B319" s="5" t="s">
        <v>565</v>
      </c>
      <c r="C319" s="5">
        <v>1067</v>
      </c>
      <c r="D319" s="6">
        <v>164.83612597999999</v>
      </c>
      <c r="E319" s="7">
        <f t="shared" si="81"/>
        <v>175880.14642065999</v>
      </c>
      <c r="F319" s="5" t="s">
        <v>580</v>
      </c>
      <c r="G319" s="5" t="s">
        <v>9</v>
      </c>
      <c r="H319" s="6">
        <v>2141</v>
      </c>
      <c r="I319" s="8">
        <f t="shared" si="82"/>
        <v>178.41666666666666</v>
      </c>
      <c r="J319" s="6">
        <f t="shared" si="83"/>
        <v>5.9803829985987855</v>
      </c>
      <c r="K319" s="5"/>
      <c r="L319" s="5"/>
      <c r="M319" s="5"/>
    </row>
    <row r="320" spans="1:13" x14ac:dyDescent="0.3">
      <c r="A320" s="5" t="s">
        <v>581</v>
      </c>
      <c r="B320" s="5" t="s">
        <v>565</v>
      </c>
      <c r="C320" s="5">
        <f>315*5</f>
        <v>1575</v>
      </c>
      <c r="D320" s="6">
        <v>41.332047260000003</v>
      </c>
      <c r="E320" s="7">
        <f t="shared" si="81"/>
        <v>65097.974434500007</v>
      </c>
      <c r="F320" s="5" t="s">
        <v>582</v>
      </c>
      <c r="G320" s="5" t="s">
        <v>9</v>
      </c>
      <c r="H320" s="6">
        <v>3753</v>
      </c>
      <c r="I320" s="8">
        <f t="shared" si="82"/>
        <v>312.75</v>
      </c>
      <c r="J320" s="6">
        <f t="shared" si="83"/>
        <v>5.0359712230215825</v>
      </c>
      <c r="K320" s="5"/>
      <c r="L320" s="5"/>
      <c r="M320" s="5"/>
    </row>
    <row r="321" spans="1:13" x14ac:dyDescent="0.3">
      <c r="A321" s="9" t="s">
        <v>581</v>
      </c>
      <c r="B321" s="9" t="s">
        <v>565</v>
      </c>
      <c r="C321" s="9">
        <f>7953-1575</f>
        <v>6378</v>
      </c>
      <c r="D321" s="10">
        <v>41.332047260000003</v>
      </c>
      <c r="E321" s="11">
        <f t="shared" ref="E321" si="100">+C321*D321</f>
        <v>263615.79742428003</v>
      </c>
      <c r="F321" s="9" t="s">
        <v>582</v>
      </c>
      <c r="G321" s="9" t="s">
        <v>9</v>
      </c>
      <c r="H321" s="10">
        <v>3753</v>
      </c>
      <c r="I321" s="12">
        <f t="shared" ref="I321" si="101">+H321/12</f>
        <v>312.75</v>
      </c>
      <c r="J321" s="10">
        <f t="shared" ref="J321" si="102">+C321/I321</f>
        <v>20.393285371702639</v>
      </c>
      <c r="K321" s="9"/>
      <c r="L321" s="9"/>
      <c r="M321" s="9"/>
    </row>
    <row r="322" spans="1:13" x14ac:dyDescent="0.3">
      <c r="A322" s="5" t="s">
        <v>583</v>
      </c>
      <c r="B322" s="5" t="s">
        <v>565</v>
      </c>
      <c r="C322" s="5">
        <v>20</v>
      </c>
      <c r="D322" s="6">
        <v>52.852317239999998</v>
      </c>
      <c r="E322" s="7">
        <f t="shared" si="81"/>
        <v>1057.0463448</v>
      </c>
      <c r="F322" s="5" t="s">
        <v>584</v>
      </c>
      <c r="G322" s="5" t="s">
        <v>9</v>
      </c>
      <c r="H322" s="6">
        <v>45</v>
      </c>
      <c r="I322" s="8">
        <f t="shared" si="82"/>
        <v>3.75</v>
      </c>
      <c r="J322" s="6">
        <f t="shared" si="83"/>
        <v>5.333333333333333</v>
      </c>
      <c r="K322" s="5"/>
      <c r="L322" s="5"/>
      <c r="M322" s="5"/>
    </row>
    <row r="323" spans="1:13" x14ac:dyDescent="0.3">
      <c r="A323" s="9" t="s">
        <v>583</v>
      </c>
      <c r="B323" s="9" t="s">
        <v>565</v>
      </c>
      <c r="C323" s="9">
        <f>58-20</f>
        <v>38</v>
      </c>
      <c r="D323" s="10">
        <v>52.852317239999998</v>
      </c>
      <c r="E323" s="11">
        <f t="shared" ref="E323" si="103">+C323*D323</f>
        <v>2008.38805512</v>
      </c>
      <c r="F323" s="9" t="s">
        <v>584</v>
      </c>
      <c r="G323" s="9" t="s">
        <v>9</v>
      </c>
      <c r="H323" s="10">
        <v>45</v>
      </c>
      <c r="I323" s="12">
        <f t="shared" ref="I323" si="104">+H323/12</f>
        <v>3.75</v>
      </c>
      <c r="J323" s="10">
        <f t="shared" ref="J323" si="105">+C323/I323</f>
        <v>10.133333333333333</v>
      </c>
      <c r="K323" s="9"/>
      <c r="L323" s="9"/>
      <c r="M323" s="9"/>
    </row>
    <row r="324" spans="1:13" x14ac:dyDescent="0.3">
      <c r="A324" s="5" t="s">
        <v>585</v>
      </c>
      <c r="B324" s="5" t="s">
        <v>565</v>
      </c>
      <c r="C324" s="5">
        <v>3</v>
      </c>
      <c r="D324" s="6">
        <v>122.91412327</v>
      </c>
      <c r="E324" s="7">
        <f t="shared" si="81"/>
        <v>368.74236981000001</v>
      </c>
      <c r="F324" s="5" t="s">
        <v>586</v>
      </c>
      <c r="G324" s="5" t="s">
        <v>9</v>
      </c>
      <c r="H324" s="6">
        <v>82</v>
      </c>
      <c r="I324" s="8">
        <f t="shared" si="82"/>
        <v>6.833333333333333</v>
      </c>
      <c r="J324" s="6">
        <f t="shared" si="83"/>
        <v>0.43902439024390244</v>
      </c>
      <c r="K324" s="5"/>
      <c r="L324" s="5"/>
      <c r="M324" s="5"/>
    </row>
    <row r="325" spans="1:13" x14ac:dyDescent="0.3">
      <c r="A325" s="5" t="s">
        <v>587</v>
      </c>
      <c r="B325" s="5" t="s">
        <v>565</v>
      </c>
      <c r="C325" s="5">
        <v>723</v>
      </c>
      <c r="D325" s="6">
        <v>54.25240668</v>
      </c>
      <c r="E325" s="7">
        <f t="shared" si="81"/>
        <v>39224.490029640001</v>
      </c>
      <c r="F325" s="5" t="s">
        <v>588</v>
      </c>
      <c r="G325" s="5" t="s">
        <v>9</v>
      </c>
      <c r="H325" s="6">
        <v>3771</v>
      </c>
      <c r="I325" s="8">
        <f t="shared" si="82"/>
        <v>314.25</v>
      </c>
      <c r="J325" s="6">
        <f t="shared" si="83"/>
        <v>2.3007159904534604</v>
      </c>
      <c r="K325" s="5"/>
      <c r="L325" s="5"/>
      <c r="M325" s="5"/>
    </row>
    <row r="326" spans="1:13" x14ac:dyDescent="0.3">
      <c r="A326" s="5" t="s">
        <v>589</v>
      </c>
      <c r="B326" s="5" t="s">
        <v>565</v>
      </c>
      <c r="C326" s="5">
        <v>40</v>
      </c>
      <c r="D326" s="6">
        <v>77.868799999999993</v>
      </c>
      <c r="E326" s="7">
        <f t="shared" si="81"/>
        <v>3114.7519999999995</v>
      </c>
      <c r="F326" s="5" t="s">
        <v>590</v>
      </c>
      <c r="G326" s="5" t="s">
        <v>9</v>
      </c>
      <c r="H326" s="6">
        <v>94</v>
      </c>
      <c r="I326" s="8">
        <f t="shared" si="82"/>
        <v>7.833333333333333</v>
      </c>
      <c r="J326" s="6">
        <f t="shared" si="83"/>
        <v>5.1063829787234045</v>
      </c>
      <c r="K326" s="5"/>
      <c r="L326" s="5"/>
      <c r="M326" s="5"/>
    </row>
    <row r="327" spans="1:13" x14ac:dyDescent="0.3">
      <c r="A327" s="9" t="s">
        <v>589</v>
      </c>
      <c r="B327" s="9" t="s">
        <v>565</v>
      </c>
      <c r="C327" s="9">
        <f>80-40</f>
        <v>40</v>
      </c>
      <c r="D327" s="10">
        <v>77.868799999999993</v>
      </c>
      <c r="E327" s="11">
        <f t="shared" ref="E327" si="106">+C327*D327</f>
        <v>3114.7519999999995</v>
      </c>
      <c r="F327" s="9" t="s">
        <v>590</v>
      </c>
      <c r="G327" s="9" t="s">
        <v>9</v>
      </c>
      <c r="H327" s="10">
        <v>94</v>
      </c>
      <c r="I327" s="12">
        <f t="shared" ref="I327" si="107">+H327/12</f>
        <v>7.833333333333333</v>
      </c>
      <c r="J327" s="10">
        <f t="shared" ref="J327" si="108">+C327/I327</f>
        <v>5.1063829787234045</v>
      </c>
      <c r="K327" s="9"/>
      <c r="L327" s="9"/>
      <c r="M327" s="9"/>
    </row>
    <row r="328" spans="1:13" x14ac:dyDescent="0.3">
      <c r="A328" s="5" t="s">
        <v>591</v>
      </c>
      <c r="B328" s="5" t="s">
        <v>565</v>
      </c>
      <c r="C328" s="5">
        <v>543</v>
      </c>
      <c r="D328" s="6">
        <v>736.38373976000003</v>
      </c>
      <c r="E328" s="7">
        <f t="shared" si="81"/>
        <v>399856.37068967998</v>
      </c>
      <c r="F328" s="5" t="s">
        <v>592</v>
      </c>
      <c r="G328" s="5" t="s">
        <v>9</v>
      </c>
      <c r="H328" s="6">
        <v>1257</v>
      </c>
      <c r="I328" s="8">
        <f t="shared" si="82"/>
        <v>104.75</v>
      </c>
      <c r="J328" s="6">
        <f t="shared" si="83"/>
        <v>5.1837708830548923</v>
      </c>
      <c r="K328" s="5"/>
      <c r="L328" s="5"/>
      <c r="M328" s="5"/>
    </row>
    <row r="329" spans="1:13" x14ac:dyDescent="0.3">
      <c r="A329" s="5" t="s">
        <v>593</v>
      </c>
      <c r="B329" s="5" t="s">
        <v>565</v>
      </c>
      <c r="C329" s="5">
        <v>1</v>
      </c>
      <c r="D329" s="6">
        <v>2513.1568449400002</v>
      </c>
      <c r="E329" s="7">
        <f t="shared" si="81"/>
        <v>2513.1568449400002</v>
      </c>
      <c r="F329" s="5" t="s">
        <v>594</v>
      </c>
      <c r="G329" s="5" t="s">
        <v>9</v>
      </c>
      <c r="H329" s="6">
        <v>42</v>
      </c>
      <c r="I329" s="8">
        <f t="shared" si="82"/>
        <v>3.5</v>
      </c>
      <c r="J329" s="6">
        <f t="shared" si="83"/>
        <v>0.2857142857142857</v>
      </c>
      <c r="K329" s="5"/>
      <c r="L329" s="5"/>
      <c r="M329" s="5"/>
    </row>
    <row r="330" spans="1:13" x14ac:dyDescent="0.3">
      <c r="A330" s="5" t="s">
        <v>595</v>
      </c>
      <c r="B330" s="5" t="s">
        <v>565</v>
      </c>
      <c r="C330" s="5">
        <v>1</v>
      </c>
      <c r="D330" s="6">
        <v>1908.2399</v>
      </c>
      <c r="E330" s="7">
        <f t="shared" si="81"/>
        <v>1908.2399</v>
      </c>
      <c r="F330" s="5" t="s">
        <v>596</v>
      </c>
      <c r="G330" s="5" t="s">
        <v>9</v>
      </c>
      <c r="H330" s="6">
        <v>65</v>
      </c>
      <c r="I330" s="8">
        <f t="shared" si="82"/>
        <v>5.416666666666667</v>
      </c>
      <c r="J330" s="6">
        <f t="shared" si="83"/>
        <v>0.1846153846153846</v>
      </c>
      <c r="K330" s="5"/>
      <c r="L330" s="5"/>
      <c r="M330" s="5"/>
    </row>
    <row r="331" spans="1:13" x14ac:dyDescent="0.3">
      <c r="A331" s="5" t="s">
        <v>597</v>
      </c>
      <c r="B331" s="5" t="s">
        <v>565</v>
      </c>
      <c r="C331" s="5">
        <v>528</v>
      </c>
      <c r="D331" s="6">
        <v>1884.1620686199999</v>
      </c>
      <c r="E331" s="7">
        <f t="shared" si="81"/>
        <v>994837.5722313599</v>
      </c>
      <c r="F331" s="5" t="s">
        <v>598</v>
      </c>
      <c r="G331" s="5" t="s">
        <v>9</v>
      </c>
      <c r="H331" s="6">
        <v>1184</v>
      </c>
      <c r="I331" s="8">
        <f t="shared" si="82"/>
        <v>98.666666666666671</v>
      </c>
      <c r="J331" s="6">
        <f t="shared" si="83"/>
        <v>5.3513513513513509</v>
      </c>
      <c r="K331" s="5"/>
      <c r="L331" s="5"/>
      <c r="M331" s="5"/>
    </row>
    <row r="332" spans="1:13" x14ac:dyDescent="0.3">
      <c r="A332" s="5" t="s">
        <v>599</v>
      </c>
      <c r="B332" s="5" t="s">
        <v>565</v>
      </c>
      <c r="C332" s="5">
        <v>17</v>
      </c>
      <c r="D332" s="6">
        <v>2512.1152000000002</v>
      </c>
      <c r="E332" s="7">
        <f t="shared" si="81"/>
        <v>42705.958400000003</v>
      </c>
      <c r="F332" s="5" t="s">
        <v>600</v>
      </c>
      <c r="G332" s="5" t="s">
        <v>9</v>
      </c>
      <c r="H332" s="6">
        <v>61</v>
      </c>
      <c r="I332" s="8">
        <f t="shared" si="82"/>
        <v>5.083333333333333</v>
      </c>
      <c r="J332" s="6">
        <f t="shared" si="83"/>
        <v>3.3442622950819674</v>
      </c>
      <c r="K332" s="5"/>
      <c r="L332" s="5"/>
      <c r="M332" s="5"/>
    </row>
    <row r="333" spans="1:13" x14ac:dyDescent="0.3">
      <c r="A333" s="5" t="s">
        <v>601</v>
      </c>
      <c r="B333" s="5" t="s">
        <v>565</v>
      </c>
      <c r="C333" s="5">
        <v>473</v>
      </c>
      <c r="D333" s="6">
        <v>3660.31788456</v>
      </c>
      <c r="E333" s="7">
        <f t="shared" si="81"/>
        <v>1731330.35939688</v>
      </c>
      <c r="F333" s="5" t="s">
        <v>602</v>
      </c>
      <c r="G333" s="5" t="s">
        <v>9</v>
      </c>
      <c r="H333" s="6">
        <v>859</v>
      </c>
      <c r="I333" s="8">
        <f t="shared" si="82"/>
        <v>71.583333333333329</v>
      </c>
      <c r="J333" s="6">
        <f t="shared" si="83"/>
        <v>6.6076833527357399</v>
      </c>
      <c r="K333" s="5"/>
      <c r="L333" s="5"/>
      <c r="M333" s="5"/>
    </row>
    <row r="334" spans="1:13" x14ac:dyDescent="0.3">
      <c r="A334" s="5" t="s">
        <v>603</v>
      </c>
      <c r="B334" s="5" t="s">
        <v>565</v>
      </c>
      <c r="C334" s="5">
        <v>25</v>
      </c>
      <c r="D334" s="6">
        <v>858.85537681999995</v>
      </c>
      <c r="E334" s="7">
        <f t="shared" si="81"/>
        <v>21471.384420499999</v>
      </c>
      <c r="F334" s="5" t="s">
        <v>604</v>
      </c>
      <c r="G334" s="5" t="s">
        <v>9</v>
      </c>
      <c r="H334" s="6">
        <v>55</v>
      </c>
      <c r="I334" s="8">
        <f t="shared" si="82"/>
        <v>4.583333333333333</v>
      </c>
      <c r="J334" s="6">
        <f t="shared" si="83"/>
        <v>5.454545454545455</v>
      </c>
      <c r="K334" s="5"/>
      <c r="L334" s="5"/>
      <c r="M334" s="5"/>
    </row>
    <row r="335" spans="1:13" x14ac:dyDescent="0.3">
      <c r="A335" s="9" t="s">
        <v>603</v>
      </c>
      <c r="B335" s="9" t="s">
        <v>565</v>
      </c>
      <c r="C335" s="9">
        <f>59-25</f>
        <v>34</v>
      </c>
      <c r="D335" s="10">
        <v>858.85537681999995</v>
      </c>
      <c r="E335" s="11">
        <f t="shared" ref="E335" si="109">+C335*D335</f>
        <v>29201.082811879998</v>
      </c>
      <c r="F335" s="9" t="s">
        <v>604</v>
      </c>
      <c r="G335" s="9" t="s">
        <v>9</v>
      </c>
      <c r="H335" s="10">
        <v>55</v>
      </c>
      <c r="I335" s="12">
        <f t="shared" ref="I335" si="110">+H335/12</f>
        <v>4.583333333333333</v>
      </c>
      <c r="J335" s="10">
        <f t="shared" ref="J335" si="111">+C335/I335</f>
        <v>7.4181818181818189</v>
      </c>
      <c r="K335" s="9"/>
      <c r="L335" s="9"/>
      <c r="M335" s="9"/>
    </row>
    <row r="336" spans="1:13" x14ac:dyDescent="0.3">
      <c r="A336" s="5" t="s">
        <v>605</v>
      </c>
      <c r="B336" s="5" t="s">
        <v>565</v>
      </c>
      <c r="C336" s="5">
        <v>36</v>
      </c>
      <c r="D336" s="6">
        <v>1011.609</v>
      </c>
      <c r="E336" s="7">
        <f t="shared" si="81"/>
        <v>36417.923999999999</v>
      </c>
      <c r="F336" s="5" t="s">
        <v>606</v>
      </c>
      <c r="G336" s="5" t="s">
        <v>9</v>
      </c>
      <c r="H336" s="6">
        <v>330</v>
      </c>
      <c r="I336" s="8">
        <f t="shared" si="82"/>
        <v>27.5</v>
      </c>
      <c r="J336" s="6">
        <f t="shared" si="83"/>
        <v>1.3090909090909091</v>
      </c>
      <c r="K336" s="5"/>
      <c r="L336" s="5"/>
      <c r="M336" s="5"/>
    </row>
    <row r="337" spans="1:13" x14ac:dyDescent="0.3">
      <c r="A337" s="5" t="s">
        <v>607</v>
      </c>
      <c r="B337" s="5" t="s">
        <v>565</v>
      </c>
      <c r="C337" s="5">
        <v>66</v>
      </c>
      <c r="D337" s="6">
        <v>1550.3323024199999</v>
      </c>
      <c r="E337" s="7">
        <f t="shared" si="81"/>
        <v>102321.93195971999</v>
      </c>
      <c r="F337" s="5" t="s">
        <v>608</v>
      </c>
      <c r="G337" s="5" t="s">
        <v>9</v>
      </c>
      <c r="H337" s="6">
        <v>580</v>
      </c>
      <c r="I337" s="8">
        <f t="shared" si="82"/>
        <v>48.333333333333336</v>
      </c>
      <c r="J337" s="6">
        <f t="shared" si="83"/>
        <v>1.3655172413793102</v>
      </c>
      <c r="K337" s="5"/>
      <c r="L337" s="5"/>
      <c r="M337" s="5"/>
    </row>
    <row r="338" spans="1:13" x14ac:dyDescent="0.3">
      <c r="A338" s="9" t="s">
        <v>609</v>
      </c>
      <c r="B338" s="9" t="s">
        <v>565</v>
      </c>
      <c r="C338" s="9">
        <v>3</v>
      </c>
      <c r="D338" s="10">
        <v>116.3793</v>
      </c>
      <c r="E338" s="11">
        <f t="shared" si="81"/>
        <v>349.1379</v>
      </c>
      <c r="F338" s="9" t="s">
        <v>610</v>
      </c>
      <c r="G338" s="9" t="s">
        <v>9</v>
      </c>
      <c r="H338" s="10">
        <v>4</v>
      </c>
      <c r="I338" s="12">
        <f t="shared" si="82"/>
        <v>0.33333333333333331</v>
      </c>
      <c r="J338" s="10">
        <f t="shared" si="83"/>
        <v>9</v>
      </c>
      <c r="K338" s="9"/>
      <c r="L338" s="9"/>
      <c r="M338" s="9"/>
    </row>
    <row r="339" spans="1:13" x14ac:dyDescent="0.3">
      <c r="A339" s="13" t="s">
        <v>611</v>
      </c>
      <c r="B339" s="13" t="s">
        <v>565</v>
      </c>
      <c r="C339" s="13">
        <v>2</v>
      </c>
      <c r="D339" s="14">
        <v>338.76819999999998</v>
      </c>
      <c r="E339" s="15">
        <f t="shared" si="81"/>
        <v>677.53639999999996</v>
      </c>
      <c r="F339" s="13" t="s">
        <v>612</v>
      </c>
      <c r="G339" s="13" t="s">
        <v>9</v>
      </c>
      <c r="H339" s="14">
        <v>0</v>
      </c>
      <c r="I339" s="16">
        <f t="shared" si="82"/>
        <v>0</v>
      </c>
      <c r="J339" s="14" t="e">
        <f t="shared" si="83"/>
        <v>#DIV/0!</v>
      </c>
      <c r="K339" s="13"/>
      <c r="L339" s="13"/>
      <c r="M339" s="13"/>
    </row>
    <row r="340" spans="1:13" x14ac:dyDescent="0.3">
      <c r="A340" s="9" t="s">
        <v>613</v>
      </c>
      <c r="B340" s="9" t="s">
        <v>565</v>
      </c>
      <c r="C340" s="9">
        <v>3</v>
      </c>
      <c r="D340" s="10">
        <v>891.03530000000001</v>
      </c>
      <c r="E340" s="11">
        <f t="shared" si="81"/>
        <v>2673.1059</v>
      </c>
      <c r="F340" s="9" t="s">
        <v>614</v>
      </c>
      <c r="G340" s="9" t="s">
        <v>9</v>
      </c>
      <c r="H340" s="10">
        <v>2</v>
      </c>
      <c r="I340" s="12">
        <f t="shared" si="82"/>
        <v>0.16666666666666666</v>
      </c>
      <c r="J340" s="10">
        <f t="shared" si="83"/>
        <v>18</v>
      </c>
      <c r="K340" s="9"/>
      <c r="L340" s="9"/>
      <c r="M340" s="9"/>
    </row>
    <row r="341" spans="1:13" x14ac:dyDescent="0.3">
      <c r="A341" s="5" t="s">
        <v>615</v>
      </c>
      <c r="B341" s="5" t="s">
        <v>565</v>
      </c>
      <c r="C341" s="5">
        <v>69</v>
      </c>
      <c r="D341" s="6">
        <v>128.08090000000001</v>
      </c>
      <c r="E341" s="7">
        <f t="shared" si="81"/>
        <v>8837.5821000000014</v>
      </c>
      <c r="F341" s="5" t="s">
        <v>616</v>
      </c>
      <c r="G341" s="5" t="s">
        <v>9</v>
      </c>
      <c r="H341" s="6">
        <v>240</v>
      </c>
      <c r="I341" s="8">
        <f t="shared" si="82"/>
        <v>20</v>
      </c>
      <c r="J341" s="6">
        <f t="shared" si="83"/>
        <v>3.45</v>
      </c>
      <c r="K341" s="5"/>
      <c r="L341" s="5"/>
      <c r="M341" s="5"/>
    </row>
    <row r="342" spans="1:13" x14ac:dyDescent="0.3">
      <c r="A342" s="5" t="s">
        <v>617</v>
      </c>
      <c r="B342" s="5" t="s">
        <v>565</v>
      </c>
      <c r="C342" s="5">
        <v>0</v>
      </c>
      <c r="D342" s="6">
        <v>0</v>
      </c>
      <c r="E342" s="7">
        <f t="shared" si="81"/>
        <v>0</v>
      </c>
      <c r="F342" s="5" t="s">
        <v>618</v>
      </c>
      <c r="G342" s="5" t="s">
        <v>9</v>
      </c>
      <c r="H342" s="6">
        <v>16</v>
      </c>
      <c r="I342" s="8">
        <f t="shared" si="82"/>
        <v>1.3333333333333333</v>
      </c>
      <c r="J342" s="6">
        <f t="shared" si="83"/>
        <v>0</v>
      </c>
      <c r="K342" s="5"/>
      <c r="L342" s="5"/>
      <c r="M342" s="5"/>
    </row>
    <row r="343" spans="1:13" x14ac:dyDescent="0.3">
      <c r="A343" s="5" t="s">
        <v>619</v>
      </c>
      <c r="B343" s="5" t="s">
        <v>620</v>
      </c>
      <c r="C343" s="5">
        <v>10</v>
      </c>
      <c r="D343" s="6">
        <v>49.136785709999998</v>
      </c>
      <c r="E343" s="7">
        <f t="shared" si="81"/>
        <v>491.36785709999998</v>
      </c>
      <c r="F343" s="5" t="s">
        <v>621</v>
      </c>
      <c r="G343" s="5" t="s">
        <v>9</v>
      </c>
      <c r="H343" s="6">
        <v>32</v>
      </c>
      <c r="I343" s="8">
        <f t="shared" si="82"/>
        <v>2.6666666666666665</v>
      </c>
      <c r="J343" s="6">
        <f t="shared" si="83"/>
        <v>3.75</v>
      </c>
      <c r="K343" s="5"/>
      <c r="L343" s="5"/>
      <c r="M343" s="5"/>
    </row>
    <row r="344" spans="1:13" x14ac:dyDescent="0.3">
      <c r="A344" s="5" t="s">
        <v>622</v>
      </c>
      <c r="B344" s="5" t="s">
        <v>623</v>
      </c>
      <c r="C344" s="5">
        <v>9</v>
      </c>
      <c r="D344" s="6">
        <v>3588.8993</v>
      </c>
      <c r="E344" s="7">
        <f t="shared" si="81"/>
        <v>32300.093700000001</v>
      </c>
      <c r="F344" s="5" t="s">
        <v>624</v>
      </c>
      <c r="G344" s="5" t="s">
        <v>9</v>
      </c>
      <c r="H344" s="6">
        <v>11</v>
      </c>
      <c r="I344" s="8">
        <f t="shared" si="82"/>
        <v>0.91666666666666663</v>
      </c>
      <c r="J344" s="6">
        <f t="shared" si="83"/>
        <v>9.8181818181818183</v>
      </c>
      <c r="K344" s="5"/>
      <c r="L344" s="18">
        <v>45972</v>
      </c>
      <c r="M344" s="5" t="s">
        <v>685</v>
      </c>
    </row>
    <row r="345" spans="1:13" x14ac:dyDescent="0.3">
      <c r="A345" s="5" t="s">
        <v>625</v>
      </c>
      <c r="B345" s="5" t="s">
        <v>623</v>
      </c>
      <c r="C345" s="5">
        <v>6</v>
      </c>
      <c r="D345" s="6">
        <v>4714.1576750000004</v>
      </c>
      <c r="E345" s="7">
        <f t="shared" si="81"/>
        <v>28284.946050000002</v>
      </c>
      <c r="F345" s="5" t="s">
        <v>626</v>
      </c>
      <c r="G345" s="5" t="s">
        <v>9</v>
      </c>
      <c r="H345" s="6">
        <v>48</v>
      </c>
      <c r="I345" s="8">
        <f t="shared" si="82"/>
        <v>4</v>
      </c>
      <c r="J345" s="6">
        <f t="shared" si="83"/>
        <v>1.5</v>
      </c>
      <c r="K345" s="5"/>
      <c r="L345" s="5"/>
      <c r="M345" s="5"/>
    </row>
    <row r="346" spans="1:13" x14ac:dyDescent="0.3">
      <c r="A346" s="5" t="s">
        <v>627</v>
      </c>
      <c r="B346" s="5" t="s">
        <v>623</v>
      </c>
      <c r="C346" s="5">
        <v>3</v>
      </c>
      <c r="D346" s="6">
        <v>5116.4624999999996</v>
      </c>
      <c r="E346" s="7">
        <f t="shared" si="81"/>
        <v>15349.387499999999</v>
      </c>
      <c r="F346" s="5" t="s">
        <v>628</v>
      </c>
      <c r="G346" s="5" t="s">
        <v>9</v>
      </c>
      <c r="H346" s="6">
        <v>69</v>
      </c>
      <c r="I346" s="8">
        <f t="shared" si="82"/>
        <v>5.75</v>
      </c>
      <c r="J346" s="6">
        <f t="shared" si="83"/>
        <v>0.52173913043478259</v>
      </c>
      <c r="K346" s="5"/>
      <c r="L346" s="5"/>
      <c r="M346" s="5"/>
    </row>
    <row r="347" spans="1:13" x14ac:dyDescent="0.3">
      <c r="A347" s="5" t="s">
        <v>629</v>
      </c>
      <c r="B347" s="5" t="s">
        <v>623</v>
      </c>
      <c r="C347" s="5">
        <v>19</v>
      </c>
      <c r="D347" s="6">
        <v>5086.8987578899996</v>
      </c>
      <c r="E347" s="7">
        <f t="shared" si="81"/>
        <v>96651.076399909987</v>
      </c>
      <c r="F347" s="5" t="s">
        <v>630</v>
      </c>
      <c r="G347" s="5" t="s">
        <v>9</v>
      </c>
      <c r="H347" s="6">
        <v>88</v>
      </c>
      <c r="I347" s="8">
        <f t="shared" si="82"/>
        <v>7.333333333333333</v>
      </c>
      <c r="J347" s="6">
        <f t="shared" si="83"/>
        <v>2.5909090909090908</v>
      </c>
      <c r="K347" s="5"/>
      <c r="L347" s="5"/>
      <c r="M347" s="5"/>
    </row>
    <row r="348" spans="1:13" x14ac:dyDescent="0.3">
      <c r="A348" s="5" t="s">
        <v>631</v>
      </c>
      <c r="B348" s="5" t="s">
        <v>623</v>
      </c>
      <c r="C348" s="5">
        <v>4</v>
      </c>
      <c r="D348" s="6">
        <v>5605.4069</v>
      </c>
      <c r="E348" s="7">
        <f t="shared" si="81"/>
        <v>22421.6276</v>
      </c>
      <c r="F348" s="5" t="s">
        <v>632</v>
      </c>
      <c r="G348" s="5" t="s">
        <v>9</v>
      </c>
      <c r="H348" s="6">
        <v>220</v>
      </c>
      <c r="I348" s="8">
        <f t="shared" si="82"/>
        <v>18.333333333333332</v>
      </c>
      <c r="J348" s="6">
        <f t="shared" si="83"/>
        <v>0.2181818181818182</v>
      </c>
      <c r="K348" s="5"/>
      <c r="L348" s="5"/>
      <c r="M348" s="5"/>
    </row>
    <row r="349" spans="1:13" x14ac:dyDescent="0.3">
      <c r="A349" s="5" t="s">
        <v>633</v>
      </c>
      <c r="B349" s="5" t="s">
        <v>623</v>
      </c>
      <c r="C349" s="5">
        <v>189</v>
      </c>
      <c r="D349" s="6">
        <v>2812.8449999999998</v>
      </c>
      <c r="E349" s="7">
        <f t="shared" si="81"/>
        <v>531627.70499999996</v>
      </c>
      <c r="F349" s="5" t="s">
        <v>634</v>
      </c>
      <c r="G349" s="5" t="s">
        <v>9</v>
      </c>
      <c r="H349" s="6">
        <v>911</v>
      </c>
      <c r="I349" s="8">
        <f t="shared" si="82"/>
        <v>75.916666666666671</v>
      </c>
      <c r="J349" s="6">
        <f t="shared" si="83"/>
        <v>2.4895718990120743</v>
      </c>
      <c r="K349" s="5"/>
      <c r="L349" s="5"/>
      <c r="M349" s="5"/>
    </row>
    <row r="350" spans="1:13" x14ac:dyDescent="0.3">
      <c r="A350" s="5" t="s">
        <v>635</v>
      </c>
      <c r="B350" s="5" t="s">
        <v>623</v>
      </c>
      <c r="C350" s="5">
        <v>22</v>
      </c>
      <c r="D350" s="6">
        <v>4323.5532999999996</v>
      </c>
      <c r="E350" s="7">
        <f t="shared" si="81"/>
        <v>95118.172599999991</v>
      </c>
      <c r="F350" s="5" t="s">
        <v>636</v>
      </c>
      <c r="G350" s="5" t="s">
        <v>9</v>
      </c>
      <c r="H350" s="6">
        <v>280</v>
      </c>
      <c r="I350" s="8">
        <f t="shared" si="82"/>
        <v>23.333333333333332</v>
      </c>
      <c r="J350" s="6">
        <f t="shared" si="83"/>
        <v>0.94285714285714295</v>
      </c>
      <c r="K350" s="5"/>
      <c r="L350" s="5"/>
      <c r="M350" s="5"/>
    </row>
    <row r="351" spans="1:13" x14ac:dyDescent="0.3">
      <c r="A351" s="5" t="s">
        <v>637</v>
      </c>
      <c r="B351" s="5" t="s">
        <v>623</v>
      </c>
      <c r="C351" s="5">
        <v>308</v>
      </c>
      <c r="D351" s="6">
        <v>2982.7827911499999</v>
      </c>
      <c r="E351" s="7">
        <f t="shared" si="81"/>
        <v>918697.09967419994</v>
      </c>
      <c r="F351" s="5" t="s">
        <v>638</v>
      </c>
      <c r="G351" s="5" t="s">
        <v>9</v>
      </c>
      <c r="H351" s="6">
        <v>1282</v>
      </c>
      <c r="I351" s="8">
        <f t="shared" si="82"/>
        <v>106.83333333333333</v>
      </c>
      <c r="J351" s="6">
        <f t="shared" si="83"/>
        <v>2.8829953198127924</v>
      </c>
      <c r="K351" s="5"/>
      <c r="L351" s="5"/>
      <c r="M351" s="5"/>
    </row>
    <row r="352" spans="1:13" x14ac:dyDescent="0.3">
      <c r="A352" s="5" t="s">
        <v>639</v>
      </c>
      <c r="B352" s="5" t="s">
        <v>640</v>
      </c>
      <c r="C352" s="5">
        <v>24</v>
      </c>
      <c r="D352" s="6">
        <v>65.519387760000001</v>
      </c>
      <c r="E352" s="7">
        <f t="shared" si="81"/>
        <v>1572.46530624</v>
      </c>
      <c r="F352" s="5" t="s">
        <v>641</v>
      </c>
      <c r="G352" s="5" t="s">
        <v>9</v>
      </c>
      <c r="H352" s="6">
        <v>140</v>
      </c>
      <c r="I352" s="8">
        <f t="shared" si="82"/>
        <v>11.666666666666666</v>
      </c>
      <c r="J352" s="6">
        <f t="shared" si="83"/>
        <v>2.0571428571428574</v>
      </c>
      <c r="K352" s="5"/>
      <c r="L352" s="5"/>
      <c r="M352" s="5"/>
    </row>
    <row r="353" spans="1:13" x14ac:dyDescent="0.3">
      <c r="A353" s="5" t="s">
        <v>642</v>
      </c>
      <c r="B353" s="5" t="s">
        <v>640</v>
      </c>
      <c r="C353" s="5">
        <v>50</v>
      </c>
      <c r="D353" s="6">
        <v>55.17</v>
      </c>
      <c r="E353" s="7">
        <f t="shared" si="81"/>
        <v>2758.5</v>
      </c>
      <c r="F353" s="5" t="s">
        <v>643</v>
      </c>
      <c r="G353" s="5" t="s">
        <v>9</v>
      </c>
      <c r="H353" s="6">
        <v>166</v>
      </c>
      <c r="I353" s="8">
        <f t="shared" si="82"/>
        <v>13.833333333333334</v>
      </c>
      <c r="J353" s="6">
        <f t="shared" si="83"/>
        <v>3.6144578313253009</v>
      </c>
      <c r="K353" s="5"/>
      <c r="L353" s="5"/>
      <c r="M353" s="5"/>
    </row>
    <row r="354" spans="1:13" x14ac:dyDescent="0.3">
      <c r="A354" s="5" t="s">
        <v>644</v>
      </c>
      <c r="B354" s="5" t="s">
        <v>640</v>
      </c>
      <c r="C354" s="5">
        <v>41</v>
      </c>
      <c r="D354" s="6">
        <v>55.170000010000003</v>
      </c>
      <c r="E354" s="7">
        <f t="shared" si="81"/>
        <v>2261.97000041</v>
      </c>
      <c r="F354" s="5" t="s">
        <v>645</v>
      </c>
      <c r="G354" s="5" t="s">
        <v>9</v>
      </c>
      <c r="H354" s="6">
        <v>150</v>
      </c>
      <c r="I354" s="8">
        <f t="shared" si="82"/>
        <v>12.5</v>
      </c>
      <c r="J354" s="6">
        <f t="shared" si="83"/>
        <v>3.28</v>
      </c>
      <c r="K354" s="5"/>
      <c r="L354" s="5"/>
      <c r="M354" s="5"/>
    </row>
    <row r="355" spans="1:13" x14ac:dyDescent="0.3">
      <c r="A355" s="5" t="s">
        <v>646</v>
      </c>
      <c r="B355" s="5" t="s">
        <v>640</v>
      </c>
      <c r="C355" s="5">
        <v>22</v>
      </c>
      <c r="D355" s="6">
        <v>65.52</v>
      </c>
      <c r="E355" s="7">
        <f t="shared" si="81"/>
        <v>1441.4399999999998</v>
      </c>
      <c r="F355" s="5" t="s">
        <v>647</v>
      </c>
      <c r="G355" s="5" t="s">
        <v>9</v>
      </c>
      <c r="H355" s="6">
        <v>84</v>
      </c>
      <c r="I355" s="8">
        <f t="shared" si="82"/>
        <v>7</v>
      </c>
      <c r="J355" s="6">
        <f t="shared" si="83"/>
        <v>3.1428571428571428</v>
      </c>
      <c r="K355" s="5"/>
      <c r="L355" s="5"/>
      <c r="M355" s="5"/>
    </row>
    <row r="356" spans="1:13" x14ac:dyDescent="0.3">
      <c r="A356" s="5" t="s">
        <v>648</v>
      </c>
      <c r="B356" s="5" t="s">
        <v>640</v>
      </c>
      <c r="C356" s="5">
        <v>25</v>
      </c>
      <c r="D356" s="6">
        <v>65.510000000000005</v>
      </c>
      <c r="E356" s="7">
        <f t="shared" si="81"/>
        <v>1637.7500000000002</v>
      </c>
      <c r="F356" s="5" t="s">
        <v>649</v>
      </c>
      <c r="G356" s="5" t="s">
        <v>9</v>
      </c>
      <c r="H356" s="6">
        <v>279</v>
      </c>
      <c r="I356" s="8">
        <f t="shared" si="82"/>
        <v>23.25</v>
      </c>
      <c r="J356" s="6">
        <f t="shared" si="83"/>
        <v>1.075268817204301</v>
      </c>
      <c r="K356" s="5"/>
      <c r="L356" s="5"/>
      <c r="M356" s="5"/>
    </row>
    <row r="357" spans="1:13" x14ac:dyDescent="0.3">
      <c r="A357" s="5" t="s">
        <v>650</v>
      </c>
      <c r="B357" s="5" t="s">
        <v>640</v>
      </c>
      <c r="C357" s="5">
        <v>41</v>
      </c>
      <c r="D357" s="6">
        <v>23.240352290000001</v>
      </c>
      <c r="E357" s="7">
        <f t="shared" si="81"/>
        <v>952.85444388999997</v>
      </c>
      <c r="F357" s="5" t="s">
        <v>651</v>
      </c>
      <c r="G357" s="5" t="s">
        <v>9</v>
      </c>
      <c r="H357" s="6">
        <v>350</v>
      </c>
      <c r="I357" s="8">
        <f t="shared" si="82"/>
        <v>29.166666666666668</v>
      </c>
      <c r="J357" s="6">
        <f t="shared" si="83"/>
        <v>1.4057142857142857</v>
      </c>
      <c r="K357" s="5"/>
      <c r="L357" s="5"/>
      <c r="M357" s="5"/>
    </row>
    <row r="358" spans="1:13" x14ac:dyDescent="0.3">
      <c r="A358" s="5" t="s">
        <v>652</v>
      </c>
      <c r="B358" s="5" t="s">
        <v>640</v>
      </c>
      <c r="C358" s="5">
        <v>16</v>
      </c>
      <c r="D358" s="6">
        <v>13.72363636</v>
      </c>
      <c r="E358" s="7">
        <f t="shared" si="81"/>
        <v>219.57818176000001</v>
      </c>
      <c r="F358" s="5" t="s">
        <v>653</v>
      </c>
      <c r="G358" s="5" t="s">
        <v>9</v>
      </c>
      <c r="H358" s="6">
        <v>20</v>
      </c>
      <c r="I358" s="8">
        <f>+H358/5</f>
        <v>4</v>
      </c>
      <c r="J358" s="6">
        <f t="shared" si="83"/>
        <v>4</v>
      </c>
      <c r="K358" s="5"/>
      <c r="L358" s="5"/>
      <c r="M358" s="5"/>
    </row>
    <row r="359" spans="1:13" x14ac:dyDescent="0.3">
      <c r="A359" s="5" t="s">
        <v>654</v>
      </c>
      <c r="B359" s="5" t="s">
        <v>640</v>
      </c>
      <c r="C359" s="5">
        <v>41</v>
      </c>
      <c r="D359" s="6">
        <v>23.268567310000002</v>
      </c>
      <c r="E359" s="7">
        <f t="shared" si="81"/>
        <v>954.0112597100001</v>
      </c>
      <c r="F359" s="5" t="s">
        <v>655</v>
      </c>
      <c r="G359" s="5" t="s">
        <v>9</v>
      </c>
      <c r="H359" s="6">
        <v>449</v>
      </c>
      <c r="I359" s="8">
        <f t="shared" si="82"/>
        <v>37.416666666666664</v>
      </c>
      <c r="J359" s="6">
        <f t="shared" si="83"/>
        <v>1.0957683741648108</v>
      </c>
      <c r="K359" s="5"/>
      <c r="L359" s="5"/>
      <c r="M359" s="5"/>
    </row>
    <row r="360" spans="1:13" x14ac:dyDescent="0.3">
      <c r="A360" s="5" t="s">
        <v>656</v>
      </c>
      <c r="B360" s="5" t="s">
        <v>640</v>
      </c>
      <c r="C360" s="5">
        <v>16</v>
      </c>
      <c r="D360" s="6">
        <v>14.23776398</v>
      </c>
      <c r="E360" s="7">
        <f t="shared" si="81"/>
        <v>227.80422368000001</v>
      </c>
      <c r="F360" s="5" t="s">
        <v>657</v>
      </c>
      <c r="G360" s="5" t="s">
        <v>9</v>
      </c>
      <c r="H360" s="6">
        <v>32</v>
      </c>
      <c r="I360" s="8">
        <f t="shared" si="82"/>
        <v>2.6666666666666665</v>
      </c>
      <c r="J360" s="6">
        <f t="shared" si="83"/>
        <v>6</v>
      </c>
      <c r="K360" s="5"/>
      <c r="L360" s="5"/>
      <c r="M360" s="5"/>
    </row>
    <row r="361" spans="1:13" x14ac:dyDescent="0.3">
      <c r="A361" s="5" t="s">
        <v>658</v>
      </c>
      <c r="B361" s="5" t="s">
        <v>640</v>
      </c>
      <c r="C361" s="5">
        <v>5</v>
      </c>
      <c r="D361" s="6">
        <v>68.103800000000007</v>
      </c>
      <c r="E361" s="7">
        <f t="shared" si="81"/>
        <v>340.51900000000001</v>
      </c>
      <c r="F361" s="5" t="s">
        <v>659</v>
      </c>
      <c r="G361" s="5" t="s">
        <v>9</v>
      </c>
      <c r="H361" s="6">
        <v>5</v>
      </c>
      <c r="I361" s="8">
        <f>+H361/6</f>
        <v>0.83333333333333337</v>
      </c>
      <c r="J361" s="6">
        <f t="shared" si="83"/>
        <v>6</v>
      </c>
      <c r="K361" s="5"/>
      <c r="L361" s="5"/>
      <c r="M361" s="5"/>
    </row>
    <row r="362" spans="1:13" x14ac:dyDescent="0.3">
      <c r="A362" s="5" t="s">
        <v>660</v>
      </c>
      <c r="B362" s="5" t="s">
        <v>640</v>
      </c>
      <c r="C362" s="5">
        <v>2</v>
      </c>
      <c r="D362" s="6">
        <v>27.268181819999999</v>
      </c>
      <c r="E362" s="7">
        <f t="shared" si="81"/>
        <v>54.536363639999998</v>
      </c>
      <c r="F362" s="5" t="s">
        <v>661</v>
      </c>
      <c r="G362" s="5" t="s">
        <v>9</v>
      </c>
      <c r="H362" s="6">
        <v>17</v>
      </c>
      <c r="I362" s="8">
        <f t="shared" si="82"/>
        <v>1.4166666666666667</v>
      </c>
      <c r="J362" s="6">
        <f t="shared" si="83"/>
        <v>1.4117647058823528</v>
      </c>
      <c r="K362" s="5"/>
      <c r="L362" s="5"/>
      <c r="M362" s="5"/>
    </row>
    <row r="363" spans="1:13" x14ac:dyDescent="0.3">
      <c r="A363" s="5" t="s">
        <v>662</v>
      </c>
      <c r="B363" s="5" t="s">
        <v>640</v>
      </c>
      <c r="C363" s="5">
        <v>2</v>
      </c>
      <c r="D363" s="6">
        <v>113.57739583</v>
      </c>
      <c r="E363" s="7">
        <f t="shared" si="81"/>
        <v>227.15479166</v>
      </c>
      <c r="F363" s="5" t="s">
        <v>663</v>
      </c>
      <c r="G363" s="5" t="s">
        <v>9</v>
      </c>
      <c r="H363" s="6">
        <v>14</v>
      </c>
      <c r="I363" s="8">
        <f t="shared" si="82"/>
        <v>1.1666666666666667</v>
      </c>
      <c r="J363" s="6">
        <f t="shared" si="83"/>
        <v>1.7142857142857142</v>
      </c>
      <c r="K363" s="5"/>
      <c r="L363" s="5"/>
      <c r="M363" s="5"/>
    </row>
    <row r="364" spans="1:13" x14ac:dyDescent="0.3">
      <c r="A364" s="9" t="s">
        <v>664</v>
      </c>
      <c r="B364" s="9" t="s">
        <v>640</v>
      </c>
      <c r="C364" s="9">
        <v>5</v>
      </c>
      <c r="D364" s="10">
        <v>172.41399999999999</v>
      </c>
      <c r="E364" s="11">
        <f t="shared" si="81"/>
        <v>862.06999999999994</v>
      </c>
      <c r="F364" s="9" t="s">
        <v>665</v>
      </c>
      <c r="G364" s="9" t="s">
        <v>9</v>
      </c>
      <c r="H364" s="10">
        <v>1</v>
      </c>
      <c r="I364" s="12">
        <f t="shared" si="82"/>
        <v>8.3333333333333329E-2</v>
      </c>
      <c r="J364" s="10">
        <f t="shared" si="83"/>
        <v>60</v>
      </c>
      <c r="K364" s="9"/>
      <c r="L364" s="17">
        <v>46036</v>
      </c>
      <c r="M364" s="9" t="s">
        <v>686</v>
      </c>
    </row>
    <row r="365" spans="1:13" x14ac:dyDescent="0.3">
      <c r="D365" s="4"/>
      <c r="E365" s="19">
        <f>SUM(E2:E364)</f>
        <v>45069503.99538672</v>
      </c>
    </row>
    <row r="366" spans="1:13" x14ac:dyDescent="0.3">
      <c r="D366" s="4"/>
    </row>
    <row r="367" spans="1:13" x14ac:dyDescent="0.3">
      <c r="D367" s="6"/>
      <c r="E367" s="3">
        <v>40047932</v>
      </c>
      <c r="F367" s="23">
        <f>+E367/E365</f>
        <v>0.88858160063397362</v>
      </c>
    </row>
    <row r="368" spans="1:13" x14ac:dyDescent="0.3">
      <c r="D368" s="10"/>
      <c r="E368" s="3">
        <v>4518353</v>
      </c>
      <c r="F368" s="23">
        <f>+E368/E365</f>
        <v>0.10025300035390883</v>
      </c>
    </row>
    <row r="369" spans="4:6" x14ac:dyDescent="0.3">
      <c r="D369" s="13"/>
      <c r="E369" s="3">
        <v>503218</v>
      </c>
      <c r="F369" s="23">
        <f>+E369/E365</f>
        <v>1.1165376926524619E-2</v>
      </c>
    </row>
  </sheetData>
  <autoFilter ref="A1:M365" xr:uid="{18E3588B-7822-4627-ABA7-DC530DC305BA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BCA1-5049-4575-A214-3FE8D48E0672}">
  <dimension ref="A1:N129"/>
  <sheetViews>
    <sheetView workbookViewId="0">
      <pane xSplit="6" ySplit="1" topLeftCell="G116" activePane="bottomRight" state="frozen"/>
      <selection pane="topRight" activeCell="G1" sqref="G1"/>
      <selection pane="bottomLeft" activeCell="A2" sqref="A2"/>
      <selection pane="bottomRight" activeCell="E1" sqref="E1"/>
    </sheetView>
  </sheetViews>
  <sheetFormatPr baseColWidth="10" defaultRowHeight="14.4" x14ac:dyDescent="0.3"/>
  <cols>
    <col min="1" max="1" width="22" bestFit="1" customWidth="1"/>
    <col min="2" max="2" width="12.88671875" customWidth="1"/>
    <col min="3" max="4" width="8.88671875" customWidth="1"/>
    <col min="6" max="6" width="13.109375" bestFit="1" customWidth="1"/>
    <col min="7" max="7" width="19.5546875" customWidth="1"/>
    <col min="8" max="8" width="12" customWidth="1"/>
    <col min="9" max="9" width="12.77734375" customWidth="1"/>
    <col min="13" max="13" width="12.33203125" customWidth="1"/>
  </cols>
  <sheetData>
    <row r="1" spans="1:14" ht="40.200000000000003" x14ac:dyDescent="0.3">
      <c r="A1" t="s">
        <v>0</v>
      </c>
      <c r="B1" t="s">
        <v>1</v>
      </c>
      <c r="C1" t="s">
        <v>2</v>
      </c>
      <c r="D1" t="s">
        <v>687</v>
      </c>
      <c r="E1" t="s">
        <v>3</v>
      </c>
      <c r="F1" t="s">
        <v>688</v>
      </c>
      <c r="G1" t="s">
        <v>4</v>
      </c>
      <c r="H1" t="s">
        <v>5</v>
      </c>
      <c r="I1" s="1" t="s">
        <v>672</v>
      </c>
      <c r="J1" s="1" t="s">
        <v>667</v>
      </c>
      <c r="K1" s="1" t="s">
        <v>668</v>
      </c>
      <c r="L1" s="2" t="s">
        <v>669</v>
      </c>
      <c r="M1" s="1" t="s">
        <v>670</v>
      </c>
      <c r="N1" s="1" t="s">
        <v>671</v>
      </c>
    </row>
    <row r="2" spans="1:14" x14ac:dyDescent="0.3">
      <c r="A2" s="9" t="s">
        <v>249</v>
      </c>
      <c r="B2" s="9" t="s">
        <v>239</v>
      </c>
      <c r="C2" s="9">
        <f>192+228</f>
        <v>420</v>
      </c>
      <c r="D2" s="9">
        <v>140</v>
      </c>
      <c r="E2" s="10">
        <v>12509.537762739999</v>
      </c>
      <c r="F2" s="11">
        <f t="shared" ref="F2:F33" si="0">+D2*E2</f>
        <v>1751335.2867836</v>
      </c>
      <c r="G2" s="9" t="s">
        <v>250</v>
      </c>
      <c r="H2" s="9" t="s">
        <v>9</v>
      </c>
      <c r="I2" s="10">
        <v>588</v>
      </c>
      <c r="J2" s="12">
        <f>+I2/12</f>
        <v>49</v>
      </c>
      <c r="K2" s="10">
        <f t="shared" ref="K2:K33" si="1">+C2/J2</f>
        <v>8.5714285714285712</v>
      </c>
      <c r="L2" s="9"/>
      <c r="M2" s="9"/>
      <c r="N2" s="9"/>
    </row>
    <row r="3" spans="1:14" x14ac:dyDescent="0.3">
      <c r="A3" s="9" t="s">
        <v>577</v>
      </c>
      <c r="B3" s="9" t="s">
        <v>565</v>
      </c>
      <c r="C3" s="9">
        <f>3742</f>
        <v>3742</v>
      </c>
      <c r="D3" s="9">
        <v>2392</v>
      </c>
      <c r="E3" s="10">
        <v>127.57777302</v>
      </c>
      <c r="F3" s="11">
        <f t="shared" si="0"/>
        <v>305166.03306384</v>
      </c>
      <c r="G3" s="9" t="s">
        <v>578</v>
      </c>
      <c r="H3" s="9" t="s">
        <v>9</v>
      </c>
      <c r="I3" s="10">
        <v>3208</v>
      </c>
      <c r="J3" s="12">
        <f>+I3/12</f>
        <v>267.33333333333331</v>
      </c>
      <c r="K3" s="10">
        <f t="shared" si="1"/>
        <v>13.997506234413967</v>
      </c>
      <c r="L3" s="9"/>
      <c r="M3" s="9"/>
      <c r="N3" s="9"/>
    </row>
    <row r="4" spans="1:14" x14ac:dyDescent="0.3">
      <c r="A4" s="9" t="s">
        <v>564</v>
      </c>
      <c r="B4" s="9" t="s">
        <v>565</v>
      </c>
      <c r="C4" s="9">
        <f>1455</f>
        <v>1455</v>
      </c>
      <c r="D4" s="9">
        <v>1030</v>
      </c>
      <c r="E4" s="10">
        <v>257.69284150999999</v>
      </c>
      <c r="F4" s="11">
        <f t="shared" si="0"/>
        <v>265423.62675529998</v>
      </c>
      <c r="G4" s="9" t="s">
        <v>566</v>
      </c>
      <c r="H4" s="9" t="s">
        <v>9</v>
      </c>
      <c r="I4" s="10">
        <v>1003</v>
      </c>
      <c r="J4" s="12">
        <f>+I4/12</f>
        <v>83.583333333333329</v>
      </c>
      <c r="K4" s="10">
        <f t="shared" si="1"/>
        <v>17.407776669990032</v>
      </c>
      <c r="L4" s="9"/>
      <c r="M4" s="17">
        <v>45937</v>
      </c>
      <c r="N4" s="9" t="s">
        <v>684</v>
      </c>
    </row>
    <row r="5" spans="1:14" x14ac:dyDescent="0.3">
      <c r="A5" s="9" t="s">
        <v>581</v>
      </c>
      <c r="B5" s="9" t="s">
        <v>565</v>
      </c>
      <c r="C5" s="9">
        <f>7953</f>
        <v>7953</v>
      </c>
      <c r="D5" s="9">
        <v>6378</v>
      </c>
      <c r="E5" s="10">
        <v>41.332047260000003</v>
      </c>
      <c r="F5" s="11">
        <f t="shared" si="0"/>
        <v>263615.79742428003</v>
      </c>
      <c r="G5" s="9" t="s">
        <v>582</v>
      </c>
      <c r="H5" s="9" t="s">
        <v>9</v>
      </c>
      <c r="I5" s="10">
        <v>3753</v>
      </c>
      <c r="J5" s="12">
        <f>+I5/12</f>
        <v>312.75</v>
      </c>
      <c r="K5" s="10">
        <f t="shared" si="1"/>
        <v>25.429256594724222</v>
      </c>
      <c r="L5" s="9"/>
      <c r="M5" s="9"/>
      <c r="N5" s="9"/>
    </row>
    <row r="6" spans="1:14" x14ac:dyDescent="0.3">
      <c r="A6" s="9" t="s">
        <v>238</v>
      </c>
      <c r="B6" s="9" t="s">
        <v>239</v>
      </c>
      <c r="C6" s="9">
        <f>1+24</f>
        <v>25</v>
      </c>
      <c r="D6" s="9">
        <v>11</v>
      </c>
      <c r="E6" s="10">
        <v>19493.41</v>
      </c>
      <c r="F6" s="11">
        <f t="shared" si="0"/>
        <v>214427.51</v>
      </c>
      <c r="G6" s="9" t="s">
        <v>240</v>
      </c>
      <c r="H6" s="9" t="s">
        <v>9</v>
      </c>
      <c r="I6" s="10">
        <f>2+15</f>
        <v>17</v>
      </c>
      <c r="J6" s="12">
        <f>+I6/7</f>
        <v>2.4285714285714284</v>
      </c>
      <c r="K6" s="10">
        <f t="shared" si="1"/>
        <v>10.294117647058824</v>
      </c>
      <c r="L6" s="9"/>
      <c r="M6" s="9"/>
      <c r="N6" s="9"/>
    </row>
    <row r="7" spans="1:14" x14ac:dyDescent="0.3">
      <c r="A7" s="9" t="s">
        <v>392</v>
      </c>
      <c r="B7" s="9" t="s">
        <v>368</v>
      </c>
      <c r="C7" s="9">
        <f>20+15</f>
        <v>35</v>
      </c>
      <c r="D7" s="9">
        <v>14</v>
      </c>
      <c r="E7" s="10">
        <v>15032.712900979999</v>
      </c>
      <c r="F7" s="11">
        <f t="shared" si="0"/>
        <v>210457.98061371999</v>
      </c>
      <c r="G7" s="9" t="s">
        <v>393</v>
      </c>
      <c r="H7" s="9" t="s">
        <v>9</v>
      </c>
      <c r="I7" s="10">
        <v>35</v>
      </c>
      <c r="J7" s="12">
        <f>+I7/8.5</f>
        <v>4.117647058823529</v>
      </c>
      <c r="K7" s="10">
        <f t="shared" si="1"/>
        <v>8.5</v>
      </c>
      <c r="L7" s="9"/>
      <c r="M7" s="9"/>
      <c r="N7" s="9"/>
    </row>
    <row r="8" spans="1:14" x14ac:dyDescent="0.3">
      <c r="A8" s="13" t="s">
        <v>225</v>
      </c>
      <c r="B8" s="13" t="s">
        <v>183</v>
      </c>
      <c r="C8" s="13">
        <v>16</v>
      </c>
      <c r="D8" s="13">
        <v>16</v>
      </c>
      <c r="E8" s="14">
        <v>9565.8701000000001</v>
      </c>
      <c r="F8" s="15">
        <f t="shared" si="0"/>
        <v>153053.9216</v>
      </c>
      <c r="G8" s="13" t="s">
        <v>226</v>
      </c>
      <c r="H8" s="13" t="s">
        <v>9</v>
      </c>
      <c r="I8" s="14">
        <v>1</v>
      </c>
      <c r="J8" s="16">
        <f>+I8/12</f>
        <v>8.3333333333333329E-2</v>
      </c>
      <c r="K8" s="14">
        <f t="shared" si="1"/>
        <v>192</v>
      </c>
      <c r="L8" s="13"/>
      <c r="M8" s="13"/>
      <c r="N8" s="13"/>
    </row>
    <row r="9" spans="1:14" x14ac:dyDescent="0.3">
      <c r="A9" s="9" t="s">
        <v>481</v>
      </c>
      <c r="B9" s="9" t="s">
        <v>468</v>
      </c>
      <c r="C9" s="9">
        <f>357</f>
        <v>357</v>
      </c>
      <c r="D9" s="9">
        <v>227</v>
      </c>
      <c r="E9" s="10">
        <v>625.28411282000002</v>
      </c>
      <c r="F9" s="11">
        <f t="shared" si="0"/>
        <v>141939.49361013999</v>
      </c>
      <c r="G9" s="9" t="s">
        <v>482</v>
      </c>
      <c r="H9" s="9" t="s">
        <v>9</v>
      </c>
      <c r="I9" s="10">
        <v>304</v>
      </c>
      <c r="J9" s="12">
        <f>+I9/12</f>
        <v>25.333333333333332</v>
      </c>
      <c r="K9" s="10">
        <f t="shared" si="1"/>
        <v>14.092105263157896</v>
      </c>
      <c r="L9" s="9"/>
      <c r="M9" s="17">
        <v>46073</v>
      </c>
      <c r="N9" s="9" t="s">
        <v>683</v>
      </c>
    </row>
    <row r="10" spans="1:14" x14ac:dyDescent="0.3">
      <c r="A10" s="13" t="s">
        <v>203</v>
      </c>
      <c r="B10" s="13" t="s">
        <v>183</v>
      </c>
      <c r="C10" s="13">
        <v>19</v>
      </c>
      <c r="D10" s="13">
        <v>19</v>
      </c>
      <c r="E10" s="14">
        <v>7329.3846999999996</v>
      </c>
      <c r="F10" s="15">
        <f t="shared" si="0"/>
        <v>139258.30929999999</v>
      </c>
      <c r="G10" s="13" t="s">
        <v>204</v>
      </c>
      <c r="H10" s="13" t="s">
        <v>9</v>
      </c>
      <c r="I10" s="14">
        <v>1</v>
      </c>
      <c r="J10" s="16">
        <f>+I10/12</f>
        <v>8.3333333333333329E-2</v>
      </c>
      <c r="K10" s="14">
        <f t="shared" si="1"/>
        <v>228</v>
      </c>
      <c r="L10" s="13"/>
      <c r="M10" s="13"/>
      <c r="N10" s="13"/>
    </row>
    <row r="11" spans="1:14" x14ac:dyDescent="0.3">
      <c r="A11" s="9" t="s">
        <v>20</v>
      </c>
      <c r="B11" s="9" t="s">
        <v>7</v>
      </c>
      <c r="C11" s="9">
        <f>227+50</f>
        <v>277</v>
      </c>
      <c r="D11" s="9">
        <v>152</v>
      </c>
      <c r="E11" s="10">
        <v>712.69832191</v>
      </c>
      <c r="F11" s="11">
        <f t="shared" si="0"/>
        <v>108330.14493032001</v>
      </c>
      <c r="G11" s="9" t="s">
        <v>21</v>
      </c>
      <c r="H11" s="9" t="s">
        <v>9</v>
      </c>
      <c r="I11" s="10">
        <v>268</v>
      </c>
      <c r="J11" s="12">
        <f>+I11/12</f>
        <v>22.333333333333332</v>
      </c>
      <c r="K11" s="10">
        <f t="shared" si="1"/>
        <v>12.402985074626866</v>
      </c>
      <c r="L11" s="9"/>
      <c r="M11" s="9"/>
      <c r="N11" s="9"/>
    </row>
    <row r="12" spans="1:14" x14ac:dyDescent="0.3">
      <c r="A12" s="9" t="s">
        <v>336</v>
      </c>
      <c r="B12" s="9" t="s">
        <v>274</v>
      </c>
      <c r="C12" s="9">
        <f>41822</f>
        <v>41822</v>
      </c>
      <c r="D12" s="9">
        <v>27322</v>
      </c>
      <c r="E12" s="10">
        <v>3.9260999999999999</v>
      </c>
      <c r="F12" s="11">
        <f t="shared" si="0"/>
        <v>107268.9042</v>
      </c>
      <c r="G12" s="9" t="s">
        <v>337</v>
      </c>
      <c r="H12" s="9" t="s">
        <v>9</v>
      </c>
      <c r="I12" s="10">
        <v>34473</v>
      </c>
      <c r="J12" s="12">
        <f>+I12/12</f>
        <v>2872.75</v>
      </c>
      <c r="K12" s="10">
        <f t="shared" si="1"/>
        <v>14.558175963797755</v>
      </c>
      <c r="L12" s="9"/>
      <c r="M12" s="9"/>
      <c r="N12" s="9"/>
    </row>
    <row r="13" spans="1:14" x14ac:dyDescent="0.3">
      <c r="A13" s="9" t="s">
        <v>26</v>
      </c>
      <c r="B13" s="9" t="s">
        <v>7</v>
      </c>
      <c r="C13" s="9">
        <f>18+15</f>
        <v>33</v>
      </c>
      <c r="D13" s="9">
        <v>19</v>
      </c>
      <c r="E13" s="10">
        <v>4664.9791290200001</v>
      </c>
      <c r="F13" s="11">
        <f t="shared" si="0"/>
        <v>88634.603451379997</v>
      </c>
      <c r="G13" s="9" t="s">
        <v>27</v>
      </c>
      <c r="H13" s="9" t="s">
        <v>9</v>
      </c>
      <c r="I13" s="10">
        <v>21</v>
      </c>
      <c r="J13" s="12">
        <f>+I13/8</f>
        <v>2.625</v>
      </c>
      <c r="K13" s="10">
        <f t="shared" si="1"/>
        <v>12.571428571428571</v>
      </c>
      <c r="L13" s="9"/>
      <c r="M13" s="9"/>
      <c r="N13" s="9"/>
    </row>
    <row r="14" spans="1:14" x14ac:dyDescent="0.3">
      <c r="A14" s="9" t="s">
        <v>162</v>
      </c>
      <c r="B14" s="9" t="s">
        <v>160</v>
      </c>
      <c r="C14" s="9">
        <f>3+21</f>
        <v>24</v>
      </c>
      <c r="D14" s="9">
        <v>20</v>
      </c>
      <c r="E14" s="10">
        <v>3627.3661346200001</v>
      </c>
      <c r="F14" s="11">
        <f t="shared" si="0"/>
        <v>72547.322692400005</v>
      </c>
      <c r="G14" s="9" t="s">
        <v>163</v>
      </c>
      <c r="H14" s="9" t="s">
        <v>9</v>
      </c>
      <c r="I14" s="10">
        <v>8</v>
      </c>
      <c r="J14" s="12">
        <f t="shared" ref="J14:J28" si="2">+I14/12</f>
        <v>0.66666666666666663</v>
      </c>
      <c r="K14" s="10">
        <f t="shared" si="1"/>
        <v>36</v>
      </c>
      <c r="L14" s="9"/>
      <c r="M14" s="9"/>
      <c r="N14" s="9"/>
    </row>
    <row r="15" spans="1:14" x14ac:dyDescent="0.3">
      <c r="A15" s="9" t="s">
        <v>18</v>
      </c>
      <c r="B15" s="9" t="s">
        <v>7</v>
      </c>
      <c r="C15" s="9">
        <v>115</v>
      </c>
      <c r="D15" s="9">
        <v>115</v>
      </c>
      <c r="E15" s="10">
        <v>617.62421789999996</v>
      </c>
      <c r="F15" s="11">
        <f t="shared" si="0"/>
        <v>71026.785058499998</v>
      </c>
      <c r="G15" s="9" t="s">
        <v>19</v>
      </c>
      <c r="H15" s="9" t="s">
        <v>9</v>
      </c>
      <c r="I15" s="10">
        <v>99</v>
      </c>
      <c r="J15" s="12">
        <f t="shared" si="2"/>
        <v>8.25</v>
      </c>
      <c r="K15" s="10">
        <f t="shared" si="1"/>
        <v>13.939393939393939</v>
      </c>
      <c r="L15" s="9"/>
      <c r="M15" s="9"/>
      <c r="N15" s="9"/>
    </row>
    <row r="16" spans="1:14" x14ac:dyDescent="0.3">
      <c r="A16" s="9" t="s">
        <v>378</v>
      </c>
      <c r="B16" s="9" t="s">
        <v>368</v>
      </c>
      <c r="C16" s="9">
        <v>3</v>
      </c>
      <c r="D16" s="9">
        <v>3</v>
      </c>
      <c r="E16" s="10">
        <v>23130.023700000002</v>
      </c>
      <c r="F16" s="11">
        <f t="shared" si="0"/>
        <v>69390.071100000001</v>
      </c>
      <c r="G16" s="9" t="s">
        <v>379</v>
      </c>
      <c r="H16" s="9" t="s">
        <v>9</v>
      </c>
      <c r="I16" s="10">
        <v>0</v>
      </c>
      <c r="J16" s="12">
        <f t="shared" si="2"/>
        <v>0</v>
      </c>
      <c r="K16" s="10" t="e">
        <f t="shared" si="1"/>
        <v>#DIV/0!</v>
      </c>
      <c r="L16" s="9"/>
      <c r="M16" s="9"/>
      <c r="N16" s="9" t="s">
        <v>674</v>
      </c>
    </row>
    <row r="17" spans="1:14" x14ac:dyDescent="0.3">
      <c r="A17" s="9" t="s">
        <v>253</v>
      </c>
      <c r="B17" s="9" t="s">
        <v>239</v>
      </c>
      <c r="C17" s="9">
        <v>3</v>
      </c>
      <c r="D17" s="9">
        <v>3</v>
      </c>
      <c r="E17" s="10">
        <v>22893.73</v>
      </c>
      <c r="F17" s="11">
        <f t="shared" si="0"/>
        <v>68681.19</v>
      </c>
      <c r="G17" s="9" t="s">
        <v>254</v>
      </c>
      <c r="H17" s="9" t="s">
        <v>9</v>
      </c>
      <c r="I17" s="10">
        <v>0</v>
      </c>
      <c r="J17" s="12">
        <f t="shared" si="2"/>
        <v>0</v>
      </c>
      <c r="K17" s="10" t="e">
        <f t="shared" si="1"/>
        <v>#DIV/0!</v>
      </c>
      <c r="L17" s="9"/>
      <c r="M17" s="17">
        <v>45866</v>
      </c>
      <c r="N17" s="9"/>
    </row>
    <row r="18" spans="1:14" x14ac:dyDescent="0.3">
      <c r="A18" s="9" t="s">
        <v>567</v>
      </c>
      <c r="B18" s="9" t="s">
        <v>565</v>
      </c>
      <c r="C18" s="9">
        <f>702</f>
        <v>702</v>
      </c>
      <c r="D18" s="9">
        <v>202</v>
      </c>
      <c r="E18" s="10">
        <v>329.82556926000001</v>
      </c>
      <c r="F18" s="11">
        <f t="shared" si="0"/>
        <v>66624.764990520009</v>
      </c>
      <c r="G18" s="9" t="s">
        <v>568</v>
      </c>
      <c r="H18" s="9" t="s">
        <v>9</v>
      </c>
      <c r="I18" s="10">
        <v>1199</v>
      </c>
      <c r="J18" s="12">
        <f t="shared" si="2"/>
        <v>99.916666666666671</v>
      </c>
      <c r="K18" s="10">
        <f t="shared" si="1"/>
        <v>7.0258548790658883</v>
      </c>
      <c r="L18" s="9"/>
      <c r="M18" s="9"/>
      <c r="N18" s="9"/>
    </row>
    <row r="19" spans="1:14" x14ac:dyDescent="0.3">
      <c r="A19" s="9" t="s">
        <v>314</v>
      </c>
      <c r="B19" s="9" t="s">
        <v>274</v>
      </c>
      <c r="C19" s="9">
        <f>10970</f>
        <v>10970</v>
      </c>
      <c r="D19" s="9">
        <v>8170</v>
      </c>
      <c r="E19" s="10">
        <v>7.6250131300000001</v>
      </c>
      <c r="F19" s="11">
        <f t="shared" si="0"/>
        <v>62296.357272100002</v>
      </c>
      <c r="G19" s="9" t="s">
        <v>315</v>
      </c>
      <c r="H19" s="9" t="s">
        <v>9</v>
      </c>
      <c r="I19" s="10">
        <v>6632</v>
      </c>
      <c r="J19" s="12">
        <f t="shared" si="2"/>
        <v>552.66666666666663</v>
      </c>
      <c r="K19" s="10">
        <f t="shared" si="1"/>
        <v>19.849215922798553</v>
      </c>
      <c r="L19" s="9"/>
      <c r="M19" s="9"/>
      <c r="N19" s="9"/>
    </row>
    <row r="20" spans="1:14" x14ac:dyDescent="0.3">
      <c r="A20" s="9" t="s">
        <v>195</v>
      </c>
      <c r="B20" s="9" t="s">
        <v>183</v>
      </c>
      <c r="C20" s="9">
        <v>11</v>
      </c>
      <c r="D20" s="9">
        <v>11</v>
      </c>
      <c r="E20" s="10">
        <v>4806.5749666700003</v>
      </c>
      <c r="F20" s="11">
        <f t="shared" si="0"/>
        <v>52872.324633370001</v>
      </c>
      <c r="G20" s="9" t="s">
        <v>196</v>
      </c>
      <c r="H20" s="9" t="s">
        <v>9</v>
      </c>
      <c r="I20" s="10">
        <v>3</v>
      </c>
      <c r="J20" s="12">
        <f t="shared" si="2"/>
        <v>0.25</v>
      </c>
      <c r="K20" s="10">
        <f t="shared" si="1"/>
        <v>44</v>
      </c>
      <c r="L20" s="9"/>
      <c r="M20" s="9"/>
      <c r="N20" s="9"/>
    </row>
    <row r="21" spans="1:14" x14ac:dyDescent="0.3">
      <c r="A21" s="9" t="s">
        <v>38</v>
      </c>
      <c r="B21" s="9" t="s">
        <v>7</v>
      </c>
      <c r="C21" s="9">
        <f>30</f>
        <v>30</v>
      </c>
      <c r="D21" s="9">
        <v>23</v>
      </c>
      <c r="E21" s="10">
        <v>1904.82839199</v>
      </c>
      <c r="F21" s="11">
        <f t="shared" si="0"/>
        <v>43811.053015769998</v>
      </c>
      <c r="G21" s="9" t="s">
        <v>39</v>
      </c>
      <c r="H21" s="9" t="s">
        <v>9</v>
      </c>
      <c r="I21" s="10">
        <v>15</v>
      </c>
      <c r="J21" s="12">
        <f t="shared" si="2"/>
        <v>1.25</v>
      </c>
      <c r="K21" s="10">
        <f t="shared" si="1"/>
        <v>24</v>
      </c>
      <c r="L21" s="9"/>
      <c r="M21" s="9"/>
      <c r="N21" s="9"/>
    </row>
    <row r="22" spans="1:14" x14ac:dyDescent="0.3">
      <c r="A22" s="9" t="s">
        <v>243</v>
      </c>
      <c r="B22" s="9" t="s">
        <v>239</v>
      </c>
      <c r="C22" s="9">
        <v>3</v>
      </c>
      <c r="D22" s="9">
        <v>3</v>
      </c>
      <c r="E22" s="10">
        <v>13336.2585</v>
      </c>
      <c r="F22" s="11">
        <f t="shared" si="0"/>
        <v>40008.775500000003</v>
      </c>
      <c r="G22" s="9" t="s">
        <v>244</v>
      </c>
      <c r="H22" s="9" t="s">
        <v>9</v>
      </c>
      <c r="I22" s="10">
        <v>1</v>
      </c>
      <c r="J22" s="12">
        <f t="shared" si="2"/>
        <v>8.3333333333333329E-2</v>
      </c>
      <c r="K22" s="10">
        <f t="shared" si="1"/>
        <v>36</v>
      </c>
      <c r="L22" s="9"/>
      <c r="M22" s="9"/>
      <c r="N22" s="9"/>
    </row>
    <row r="23" spans="1:14" x14ac:dyDescent="0.3">
      <c r="A23" s="9" t="s">
        <v>575</v>
      </c>
      <c r="B23" s="9" t="s">
        <v>565</v>
      </c>
      <c r="C23" s="9">
        <f>867</f>
        <v>867</v>
      </c>
      <c r="D23" s="9">
        <v>312</v>
      </c>
      <c r="E23" s="10">
        <v>105.79868897999999</v>
      </c>
      <c r="F23" s="11">
        <f t="shared" si="0"/>
        <v>33009.190961759996</v>
      </c>
      <c r="G23" s="9" t="s">
        <v>576</v>
      </c>
      <c r="H23" s="9" t="s">
        <v>9</v>
      </c>
      <c r="I23" s="10">
        <v>1326</v>
      </c>
      <c r="J23" s="12">
        <f t="shared" si="2"/>
        <v>110.5</v>
      </c>
      <c r="K23" s="10">
        <f t="shared" si="1"/>
        <v>7.8461538461538458</v>
      </c>
      <c r="L23" s="9"/>
      <c r="M23" s="9"/>
      <c r="N23" s="9"/>
    </row>
    <row r="24" spans="1:14" x14ac:dyDescent="0.3">
      <c r="A24" s="9" t="s">
        <v>245</v>
      </c>
      <c r="B24" s="9" t="s">
        <v>239</v>
      </c>
      <c r="C24" s="9">
        <v>2</v>
      </c>
      <c r="D24" s="9">
        <v>2</v>
      </c>
      <c r="E24" s="10">
        <v>15896.837582079999</v>
      </c>
      <c r="F24" s="11">
        <f t="shared" si="0"/>
        <v>31793.675164159999</v>
      </c>
      <c r="G24" s="9" t="s">
        <v>246</v>
      </c>
      <c r="H24" s="9" t="s">
        <v>9</v>
      </c>
      <c r="I24" s="10">
        <v>177</v>
      </c>
      <c r="J24" s="12">
        <f t="shared" si="2"/>
        <v>14.75</v>
      </c>
      <c r="K24" s="10">
        <f t="shared" si="1"/>
        <v>0.13559322033898305</v>
      </c>
      <c r="L24" s="9"/>
      <c r="M24" s="9"/>
      <c r="N24" s="9"/>
    </row>
    <row r="25" spans="1:14" x14ac:dyDescent="0.3">
      <c r="A25" s="13" t="s">
        <v>189</v>
      </c>
      <c r="B25" s="13" t="s">
        <v>183</v>
      </c>
      <c r="C25" s="13">
        <v>19</v>
      </c>
      <c r="D25" s="13">
        <v>19</v>
      </c>
      <c r="E25" s="14">
        <v>1657.8148000000001</v>
      </c>
      <c r="F25" s="15">
        <f t="shared" si="0"/>
        <v>31498.481200000002</v>
      </c>
      <c r="G25" s="13" t="s">
        <v>190</v>
      </c>
      <c r="H25" s="13" t="s">
        <v>9</v>
      </c>
      <c r="I25" s="14">
        <v>1</v>
      </c>
      <c r="J25" s="16">
        <f t="shared" si="2"/>
        <v>8.3333333333333329E-2</v>
      </c>
      <c r="K25" s="14">
        <f t="shared" si="1"/>
        <v>228</v>
      </c>
      <c r="L25" s="13"/>
      <c r="M25" s="13"/>
      <c r="N25" s="13"/>
    </row>
    <row r="26" spans="1:14" x14ac:dyDescent="0.3">
      <c r="A26" s="9" t="s">
        <v>227</v>
      </c>
      <c r="B26" s="9" t="s">
        <v>228</v>
      </c>
      <c r="C26" s="9">
        <f>476</f>
        <v>476</v>
      </c>
      <c r="D26" s="9">
        <v>305</v>
      </c>
      <c r="E26" s="10">
        <v>101.46203444</v>
      </c>
      <c r="F26" s="11">
        <f t="shared" si="0"/>
        <v>30945.920504199999</v>
      </c>
      <c r="G26" s="9" t="s">
        <v>229</v>
      </c>
      <c r="H26" s="9" t="s">
        <v>9</v>
      </c>
      <c r="I26" s="10">
        <v>402</v>
      </c>
      <c r="J26" s="12">
        <f t="shared" si="2"/>
        <v>33.5</v>
      </c>
      <c r="K26" s="10">
        <f t="shared" si="1"/>
        <v>14.208955223880597</v>
      </c>
      <c r="L26" s="9"/>
      <c r="M26" s="17">
        <v>46063</v>
      </c>
      <c r="N26" s="9" t="s">
        <v>680</v>
      </c>
    </row>
    <row r="27" spans="1:14" x14ac:dyDescent="0.3">
      <c r="A27" s="9" t="s">
        <v>603</v>
      </c>
      <c r="B27" s="9" t="s">
        <v>565</v>
      </c>
      <c r="C27" s="9">
        <f>59</f>
        <v>59</v>
      </c>
      <c r="D27" s="9">
        <v>34</v>
      </c>
      <c r="E27" s="10">
        <v>858.85537681999995</v>
      </c>
      <c r="F27" s="11">
        <f t="shared" si="0"/>
        <v>29201.082811879998</v>
      </c>
      <c r="G27" s="9" t="s">
        <v>604</v>
      </c>
      <c r="H27" s="9" t="s">
        <v>9</v>
      </c>
      <c r="I27" s="10">
        <v>55</v>
      </c>
      <c r="J27" s="12">
        <f t="shared" si="2"/>
        <v>4.583333333333333</v>
      </c>
      <c r="K27" s="10">
        <f t="shared" si="1"/>
        <v>12.872727272727273</v>
      </c>
      <c r="L27" s="9"/>
      <c r="M27" s="9"/>
      <c r="N27" s="9"/>
    </row>
    <row r="28" spans="1:14" x14ac:dyDescent="0.3">
      <c r="A28" s="9" t="s">
        <v>207</v>
      </c>
      <c r="B28" s="9" t="s">
        <v>183</v>
      </c>
      <c r="C28" s="9">
        <f>3</f>
        <v>3</v>
      </c>
      <c r="D28" s="9">
        <v>2</v>
      </c>
      <c r="E28" s="10">
        <v>14381.364149999999</v>
      </c>
      <c r="F28" s="11">
        <f t="shared" si="0"/>
        <v>28762.728299999999</v>
      </c>
      <c r="G28" s="9" t="s">
        <v>208</v>
      </c>
      <c r="H28" s="9" t="s">
        <v>9</v>
      </c>
      <c r="I28" s="10">
        <v>3</v>
      </c>
      <c r="J28" s="12">
        <f t="shared" si="2"/>
        <v>0.25</v>
      </c>
      <c r="K28" s="10">
        <f t="shared" si="1"/>
        <v>12</v>
      </c>
      <c r="L28" s="9"/>
      <c r="M28" s="9"/>
      <c r="N28" s="9"/>
    </row>
    <row r="29" spans="1:14" x14ac:dyDescent="0.3">
      <c r="A29" s="9" t="s">
        <v>68</v>
      </c>
      <c r="B29" s="9" t="s">
        <v>7</v>
      </c>
      <c r="C29" s="9">
        <f>72</f>
        <v>72</v>
      </c>
      <c r="D29" s="9">
        <v>65</v>
      </c>
      <c r="E29" s="10">
        <v>435.75598101999998</v>
      </c>
      <c r="F29" s="11">
        <f t="shared" si="0"/>
        <v>28324.138766299999</v>
      </c>
      <c r="G29" s="9" t="s">
        <v>69</v>
      </c>
      <c r="H29" s="9" t="s">
        <v>9</v>
      </c>
      <c r="I29" s="10">
        <v>14</v>
      </c>
      <c r="J29" s="12">
        <f>+I29/10.5</f>
        <v>1.3333333333333333</v>
      </c>
      <c r="K29" s="10">
        <f t="shared" si="1"/>
        <v>54</v>
      </c>
      <c r="L29" s="9"/>
      <c r="M29" s="9"/>
      <c r="N29" s="9"/>
    </row>
    <row r="30" spans="1:14" x14ac:dyDescent="0.3">
      <c r="A30" s="9" t="s">
        <v>308</v>
      </c>
      <c r="B30" s="9" t="s">
        <v>274</v>
      </c>
      <c r="C30" s="9">
        <f>13033</f>
        <v>13033</v>
      </c>
      <c r="D30" s="9">
        <v>4783</v>
      </c>
      <c r="E30" s="10">
        <v>5.8869135300000002</v>
      </c>
      <c r="F30" s="11">
        <f t="shared" si="0"/>
        <v>28157.107413990001</v>
      </c>
      <c r="G30" s="9" t="s">
        <v>309</v>
      </c>
      <c r="H30" s="9" t="s">
        <v>9</v>
      </c>
      <c r="I30" s="10">
        <v>19715</v>
      </c>
      <c r="J30" s="12">
        <f t="shared" ref="J30:J35" si="3">+I30/12</f>
        <v>1642.9166666666667</v>
      </c>
      <c r="K30" s="10">
        <f t="shared" si="1"/>
        <v>7.9328430129343133</v>
      </c>
      <c r="L30" s="9"/>
      <c r="M30" s="9"/>
      <c r="N30" s="9"/>
    </row>
    <row r="31" spans="1:14" x14ac:dyDescent="0.3">
      <c r="A31" s="13" t="s">
        <v>483</v>
      </c>
      <c r="B31" s="13" t="s">
        <v>468</v>
      </c>
      <c r="C31" s="13">
        <v>2</v>
      </c>
      <c r="D31" s="13">
        <v>2</v>
      </c>
      <c r="E31" s="14">
        <v>14043.186100000001</v>
      </c>
      <c r="F31" s="15">
        <f t="shared" si="0"/>
        <v>28086.372200000002</v>
      </c>
      <c r="G31" s="13" t="s">
        <v>484</v>
      </c>
      <c r="H31" s="13" t="s">
        <v>9</v>
      </c>
      <c r="I31" s="14">
        <v>0</v>
      </c>
      <c r="J31" s="16">
        <f t="shared" si="3"/>
        <v>0</v>
      </c>
      <c r="K31" s="14" t="e">
        <f t="shared" si="1"/>
        <v>#DIV/0!</v>
      </c>
      <c r="L31" s="13"/>
      <c r="M31" s="13"/>
      <c r="N31" s="13"/>
    </row>
    <row r="32" spans="1:14" x14ac:dyDescent="0.3">
      <c r="A32" s="9" t="s">
        <v>213</v>
      </c>
      <c r="B32" s="9" t="s">
        <v>183</v>
      </c>
      <c r="C32" s="9">
        <v>4</v>
      </c>
      <c r="D32" s="9">
        <v>4</v>
      </c>
      <c r="E32" s="10">
        <v>5553.3927999999996</v>
      </c>
      <c r="F32" s="11">
        <f t="shared" si="0"/>
        <v>22213.571199999998</v>
      </c>
      <c r="G32" s="9" t="s">
        <v>214</v>
      </c>
      <c r="H32" s="9" t="s">
        <v>9</v>
      </c>
      <c r="I32" s="10">
        <v>1</v>
      </c>
      <c r="J32" s="12">
        <f t="shared" si="3"/>
        <v>8.3333333333333329E-2</v>
      </c>
      <c r="K32" s="10">
        <f t="shared" si="1"/>
        <v>48</v>
      </c>
      <c r="L32" s="9"/>
      <c r="M32" s="9"/>
      <c r="N32" s="9"/>
    </row>
    <row r="33" spans="1:14" x14ac:dyDescent="0.3">
      <c r="A33" s="9" t="s">
        <v>445</v>
      </c>
      <c r="B33" s="9" t="s">
        <v>415</v>
      </c>
      <c r="C33" s="9">
        <f>7</f>
        <v>7</v>
      </c>
      <c r="D33" s="9">
        <v>4</v>
      </c>
      <c r="E33" s="10">
        <v>5480.6867389199997</v>
      </c>
      <c r="F33" s="11">
        <f t="shared" si="0"/>
        <v>21922.746955679999</v>
      </c>
      <c r="G33" s="9" t="s">
        <v>446</v>
      </c>
      <c r="H33" s="9" t="s">
        <v>9</v>
      </c>
      <c r="I33" s="10">
        <v>7</v>
      </c>
      <c r="J33" s="12">
        <f t="shared" si="3"/>
        <v>0.58333333333333337</v>
      </c>
      <c r="K33" s="10">
        <f t="shared" si="1"/>
        <v>12</v>
      </c>
      <c r="L33" s="9"/>
      <c r="M33" s="17">
        <v>46042</v>
      </c>
      <c r="N33" s="9" t="s">
        <v>677</v>
      </c>
    </row>
    <row r="34" spans="1:14" x14ac:dyDescent="0.3">
      <c r="A34" s="9" t="s">
        <v>81</v>
      </c>
      <c r="B34" s="9" t="s">
        <v>7</v>
      </c>
      <c r="C34" s="9">
        <f>74</f>
        <v>74</v>
      </c>
      <c r="D34" s="9">
        <v>49</v>
      </c>
      <c r="E34" s="10">
        <v>429.69835705000003</v>
      </c>
      <c r="F34" s="11">
        <f t="shared" ref="F34:F65" si="4">+D34*E34</f>
        <v>21055.219495450001</v>
      </c>
      <c r="G34" s="9" t="s">
        <v>82</v>
      </c>
      <c r="H34" s="9" t="s">
        <v>9</v>
      </c>
      <c r="I34" s="10">
        <v>57</v>
      </c>
      <c r="J34" s="12">
        <f t="shared" si="3"/>
        <v>4.75</v>
      </c>
      <c r="K34" s="10">
        <f t="shared" ref="K34:K65" si="5">+C34/J34</f>
        <v>15.578947368421053</v>
      </c>
      <c r="L34" s="9"/>
      <c r="M34" s="9"/>
      <c r="N34" s="9"/>
    </row>
    <row r="35" spans="1:14" x14ac:dyDescent="0.3">
      <c r="A35" s="13" t="s">
        <v>197</v>
      </c>
      <c r="B35" s="13" t="s">
        <v>183</v>
      </c>
      <c r="C35" s="13">
        <v>5</v>
      </c>
      <c r="D35" s="13">
        <v>5</v>
      </c>
      <c r="E35" s="14">
        <v>3966.4323333299999</v>
      </c>
      <c r="F35" s="15">
        <f t="shared" si="4"/>
        <v>19832.161666649998</v>
      </c>
      <c r="G35" s="13" t="s">
        <v>198</v>
      </c>
      <c r="H35" s="13" t="s">
        <v>9</v>
      </c>
      <c r="I35" s="14">
        <v>2</v>
      </c>
      <c r="J35" s="16">
        <f t="shared" si="3"/>
        <v>0.16666666666666666</v>
      </c>
      <c r="K35" s="14">
        <f t="shared" si="5"/>
        <v>30</v>
      </c>
      <c r="L35" s="13"/>
      <c r="M35" s="13"/>
      <c r="N35" s="13"/>
    </row>
    <row r="36" spans="1:14" x14ac:dyDescent="0.3">
      <c r="A36" s="9" t="s">
        <v>522</v>
      </c>
      <c r="B36" s="9" t="s">
        <v>468</v>
      </c>
      <c r="C36" s="9">
        <f>108</f>
        <v>108</v>
      </c>
      <c r="D36" s="9">
        <v>102</v>
      </c>
      <c r="E36" s="10">
        <v>190.42560803000001</v>
      </c>
      <c r="F36" s="11">
        <f t="shared" si="4"/>
        <v>19423.412019060001</v>
      </c>
      <c r="G36" s="9" t="s">
        <v>523</v>
      </c>
      <c r="H36" s="9" t="s">
        <v>9</v>
      </c>
      <c r="I36" s="10">
        <v>3</v>
      </c>
      <c r="J36" s="12">
        <f>+I36/2.6</f>
        <v>1.1538461538461537</v>
      </c>
      <c r="K36" s="10">
        <f t="shared" si="5"/>
        <v>93.600000000000009</v>
      </c>
      <c r="L36" s="9"/>
      <c r="M36" s="9"/>
      <c r="N36" s="9"/>
    </row>
    <row r="37" spans="1:14" x14ac:dyDescent="0.3">
      <c r="A37" s="13" t="s">
        <v>425</v>
      </c>
      <c r="B37" s="13" t="s">
        <v>415</v>
      </c>
      <c r="C37" s="13">
        <v>1</v>
      </c>
      <c r="D37" s="13">
        <v>1</v>
      </c>
      <c r="E37" s="14">
        <v>17630.601500000001</v>
      </c>
      <c r="F37" s="15">
        <f t="shared" si="4"/>
        <v>17630.601500000001</v>
      </c>
      <c r="G37" s="13" t="s">
        <v>426</v>
      </c>
      <c r="H37" s="13" t="s">
        <v>9</v>
      </c>
      <c r="I37" s="14">
        <v>0</v>
      </c>
      <c r="J37" s="16">
        <f t="shared" ref="J37:J44" si="6">+I37/12</f>
        <v>0</v>
      </c>
      <c r="K37" s="14" t="e">
        <f t="shared" si="5"/>
        <v>#DIV/0!</v>
      </c>
      <c r="L37" s="13"/>
      <c r="M37" s="13"/>
      <c r="N37" s="13"/>
    </row>
    <row r="38" spans="1:14" x14ac:dyDescent="0.3">
      <c r="A38" s="9" t="s">
        <v>209</v>
      </c>
      <c r="B38" s="9" t="s">
        <v>183</v>
      </c>
      <c r="C38" s="9">
        <f>12</f>
        <v>12</v>
      </c>
      <c r="D38" s="9">
        <v>7</v>
      </c>
      <c r="E38" s="10">
        <v>2459.1465499999999</v>
      </c>
      <c r="F38" s="11">
        <f t="shared" si="4"/>
        <v>17214.025849999998</v>
      </c>
      <c r="G38" s="9" t="s">
        <v>210</v>
      </c>
      <c r="H38" s="9" t="s">
        <v>9</v>
      </c>
      <c r="I38" s="10">
        <v>11</v>
      </c>
      <c r="J38" s="12">
        <f t="shared" si="6"/>
        <v>0.91666666666666663</v>
      </c>
      <c r="K38" s="10">
        <f t="shared" si="5"/>
        <v>13.090909090909092</v>
      </c>
      <c r="L38" s="9"/>
      <c r="M38" s="9"/>
      <c r="N38" s="9"/>
    </row>
    <row r="39" spans="1:14" x14ac:dyDescent="0.3">
      <c r="A39" s="13" t="s">
        <v>548</v>
      </c>
      <c r="B39" s="13" t="s">
        <v>468</v>
      </c>
      <c r="C39" s="13">
        <v>1</v>
      </c>
      <c r="D39" s="13">
        <v>1</v>
      </c>
      <c r="E39" s="14">
        <v>15168.429</v>
      </c>
      <c r="F39" s="15">
        <f t="shared" si="4"/>
        <v>15168.429</v>
      </c>
      <c r="G39" s="13" t="s">
        <v>549</v>
      </c>
      <c r="H39" s="13" t="s">
        <v>9</v>
      </c>
      <c r="I39" s="14">
        <v>0</v>
      </c>
      <c r="J39" s="16">
        <f t="shared" si="6"/>
        <v>0</v>
      </c>
      <c r="K39" s="14" t="e">
        <f t="shared" si="5"/>
        <v>#DIV/0!</v>
      </c>
      <c r="L39" s="13"/>
      <c r="M39" s="13"/>
      <c r="N39" s="13"/>
    </row>
    <row r="40" spans="1:14" x14ac:dyDescent="0.3">
      <c r="A40" s="9" t="s">
        <v>251</v>
      </c>
      <c r="B40" s="9" t="s">
        <v>239</v>
      </c>
      <c r="C40" s="9">
        <v>17</v>
      </c>
      <c r="D40" s="9">
        <v>17</v>
      </c>
      <c r="E40" s="10">
        <v>840.32899091000002</v>
      </c>
      <c r="F40" s="11">
        <f t="shared" si="4"/>
        <v>14285.592845470001</v>
      </c>
      <c r="G40" s="9" t="s">
        <v>252</v>
      </c>
      <c r="H40" s="9" t="s">
        <v>9</v>
      </c>
      <c r="I40" s="10">
        <v>8</v>
      </c>
      <c r="J40" s="12">
        <f t="shared" si="6"/>
        <v>0.66666666666666663</v>
      </c>
      <c r="K40" s="10">
        <f t="shared" si="5"/>
        <v>25.5</v>
      </c>
      <c r="L40" s="9"/>
      <c r="M40" s="9"/>
      <c r="N40" s="9"/>
    </row>
    <row r="41" spans="1:14" x14ac:dyDescent="0.3">
      <c r="A41" s="9" t="s">
        <v>171</v>
      </c>
      <c r="B41" s="9" t="s">
        <v>165</v>
      </c>
      <c r="C41" s="9">
        <f>4</f>
        <v>4</v>
      </c>
      <c r="D41" s="9">
        <v>2</v>
      </c>
      <c r="E41" s="10">
        <v>7089.7687999999998</v>
      </c>
      <c r="F41" s="11">
        <f t="shared" si="4"/>
        <v>14179.5376</v>
      </c>
      <c r="G41" s="9" t="s">
        <v>172</v>
      </c>
      <c r="H41" s="9" t="s">
        <v>9</v>
      </c>
      <c r="I41" s="10">
        <v>5</v>
      </c>
      <c r="J41" s="12">
        <f t="shared" si="6"/>
        <v>0.41666666666666669</v>
      </c>
      <c r="K41" s="10">
        <f t="shared" si="5"/>
        <v>9.6</v>
      </c>
      <c r="L41" s="9"/>
      <c r="M41" s="9"/>
      <c r="N41" s="9"/>
    </row>
    <row r="42" spans="1:14" x14ac:dyDescent="0.3">
      <c r="A42" s="9" t="s">
        <v>16</v>
      </c>
      <c r="B42" s="9" t="s">
        <v>7</v>
      </c>
      <c r="C42" s="9">
        <f>5+5</f>
        <v>10</v>
      </c>
      <c r="D42" s="9">
        <v>6</v>
      </c>
      <c r="E42" s="10">
        <v>2355.4022222200001</v>
      </c>
      <c r="F42" s="11">
        <f t="shared" si="4"/>
        <v>14132.413333320001</v>
      </c>
      <c r="G42" s="9" t="s">
        <v>17</v>
      </c>
      <c r="H42" s="9" t="s">
        <v>9</v>
      </c>
      <c r="I42" s="10">
        <v>8</v>
      </c>
      <c r="J42" s="12">
        <f t="shared" si="6"/>
        <v>0.66666666666666663</v>
      </c>
      <c r="K42" s="10">
        <f t="shared" si="5"/>
        <v>15</v>
      </c>
      <c r="L42" s="9"/>
      <c r="M42" s="9"/>
      <c r="N42" s="9"/>
    </row>
    <row r="43" spans="1:14" x14ac:dyDescent="0.3">
      <c r="A43" s="9" t="s">
        <v>476</v>
      </c>
      <c r="B43" s="9" t="s">
        <v>468</v>
      </c>
      <c r="C43" s="9">
        <v>125</v>
      </c>
      <c r="D43" s="9">
        <v>125</v>
      </c>
      <c r="E43" s="10">
        <v>100.621089</v>
      </c>
      <c r="F43" s="11">
        <f t="shared" si="4"/>
        <v>12577.636124999999</v>
      </c>
      <c r="G43" s="9" t="s">
        <v>477</v>
      </c>
      <c r="H43" s="9" t="s">
        <v>9</v>
      </c>
      <c r="I43" s="10">
        <v>10</v>
      </c>
      <c r="J43" s="12">
        <f t="shared" si="6"/>
        <v>0.83333333333333337</v>
      </c>
      <c r="K43" s="10">
        <f t="shared" si="5"/>
        <v>150</v>
      </c>
      <c r="L43" s="9"/>
      <c r="M43" s="9"/>
      <c r="N43" s="9"/>
    </row>
    <row r="44" spans="1:14" x14ac:dyDescent="0.3">
      <c r="A44" s="9" t="s">
        <v>263</v>
      </c>
      <c r="B44" s="9" t="s">
        <v>239</v>
      </c>
      <c r="C44" s="9">
        <v>1</v>
      </c>
      <c r="D44" s="9">
        <v>1</v>
      </c>
      <c r="E44" s="10">
        <v>12404.296</v>
      </c>
      <c r="F44" s="11">
        <f t="shared" si="4"/>
        <v>12404.296</v>
      </c>
      <c r="G44" s="9" t="s">
        <v>264</v>
      </c>
      <c r="H44" s="9" t="s">
        <v>9</v>
      </c>
      <c r="I44" s="10">
        <v>40</v>
      </c>
      <c r="J44" s="12">
        <f t="shared" si="6"/>
        <v>3.3333333333333335</v>
      </c>
      <c r="K44" s="10">
        <f t="shared" si="5"/>
        <v>0.3</v>
      </c>
      <c r="L44" s="9"/>
      <c r="M44" s="9"/>
      <c r="N44" s="9"/>
    </row>
    <row r="45" spans="1:14" x14ac:dyDescent="0.3">
      <c r="A45" s="9" t="s">
        <v>328</v>
      </c>
      <c r="B45" s="9" t="s">
        <v>274</v>
      </c>
      <c r="C45" s="9">
        <f>2415</f>
        <v>2415</v>
      </c>
      <c r="D45" s="9">
        <v>1515</v>
      </c>
      <c r="E45" s="10">
        <v>7.8286355700000003</v>
      </c>
      <c r="F45" s="11">
        <f t="shared" si="4"/>
        <v>11860.382888550001</v>
      </c>
      <c r="G45" s="9" t="s">
        <v>329</v>
      </c>
      <c r="H45" s="9" t="s">
        <v>9</v>
      </c>
      <c r="I45" s="10">
        <v>915</v>
      </c>
      <c r="J45" s="12">
        <f>+I45/5.2</f>
        <v>175.96153846153845</v>
      </c>
      <c r="K45" s="10">
        <f t="shared" si="5"/>
        <v>13.724590163934426</v>
      </c>
      <c r="L45" s="9"/>
      <c r="M45" s="17">
        <v>46063</v>
      </c>
      <c r="N45" s="9" t="s">
        <v>681</v>
      </c>
    </row>
    <row r="46" spans="1:14" x14ac:dyDescent="0.3">
      <c r="A46" s="9" t="s">
        <v>474</v>
      </c>
      <c r="B46" s="9" t="s">
        <v>468</v>
      </c>
      <c r="C46" s="9">
        <v>113</v>
      </c>
      <c r="D46" s="9">
        <v>113</v>
      </c>
      <c r="E46" s="10">
        <v>98.523932470000005</v>
      </c>
      <c r="F46" s="11">
        <f t="shared" si="4"/>
        <v>11133.204369110001</v>
      </c>
      <c r="G46" s="9" t="s">
        <v>475</v>
      </c>
      <c r="H46" s="9" t="s">
        <v>9</v>
      </c>
      <c r="I46" s="10">
        <v>7</v>
      </c>
      <c r="J46" s="12">
        <f>+I46/12</f>
        <v>0.58333333333333337</v>
      </c>
      <c r="K46" s="10">
        <f t="shared" si="5"/>
        <v>193.71428571428569</v>
      </c>
      <c r="L46" s="9"/>
      <c r="M46" s="9"/>
      <c r="N46" s="9"/>
    </row>
    <row r="47" spans="1:14" x14ac:dyDescent="0.3">
      <c r="A47" s="13" t="s">
        <v>89</v>
      </c>
      <c r="B47" s="13" t="s">
        <v>7</v>
      </c>
      <c r="C47" s="13">
        <v>1</v>
      </c>
      <c r="D47" s="13">
        <v>1</v>
      </c>
      <c r="E47" s="14">
        <v>11077.608899999999</v>
      </c>
      <c r="F47" s="15">
        <f t="shared" si="4"/>
        <v>11077.608899999999</v>
      </c>
      <c r="G47" s="13" t="s">
        <v>90</v>
      </c>
      <c r="H47" s="13" t="s">
        <v>9</v>
      </c>
      <c r="I47" s="14">
        <v>0</v>
      </c>
      <c r="J47" s="16">
        <f>+I47/12</f>
        <v>0</v>
      </c>
      <c r="K47" s="14" t="e">
        <f t="shared" si="5"/>
        <v>#DIV/0!</v>
      </c>
      <c r="L47" s="13"/>
      <c r="M47" s="13"/>
      <c r="N47" s="13"/>
    </row>
    <row r="48" spans="1:14" x14ac:dyDescent="0.3">
      <c r="A48" s="13" t="s">
        <v>211</v>
      </c>
      <c r="B48" s="13" t="s">
        <v>183</v>
      </c>
      <c r="C48" s="13">
        <v>2</v>
      </c>
      <c r="D48" s="13">
        <v>2</v>
      </c>
      <c r="E48" s="14">
        <v>5499.8371999999999</v>
      </c>
      <c r="F48" s="15">
        <f t="shared" si="4"/>
        <v>10999.6744</v>
      </c>
      <c r="G48" s="13" t="s">
        <v>212</v>
      </c>
      <c r="H48" s="13" t="s">
        <v>9</v>
      </c>
      <c r="I48" s="14">
        <v>0</v>
      </c>
      <c r="J48" s="16">
        <f>+I48/12</f>
        <v>0</v>
      </c>
      <c r="K48" s="14" t="e">
        <f t="shared" si="5"/>
        <v>#DIV/0!</v>
      </c>
      <c r="L48" s="13"/>
      <c r="M48" s="13"/>
      <c r="N48" s="13"/>
    </row>
    <row r="49" spans="1:14" x14ac:dyDescent="0.3">
      <c r="A49" s="9" t="s">
        <v>234</v>
      </c>
      <c r="B49" s="9" t="s">
        <v>228</v>
      </c>
      <c r="C49" s="9">
        <f>715</f>
        <v>715</v>
      </c>
      <c r="D49" s="9">
        <v>215</v>
      </c>
      <c r="E49" s="10">
        <v>48.072922159999997</v>
      </c>
      <c r="F49" s="11">
        <f t="shared" si="4"/>
        <v>10335.6782644</v>
      </c>
      <c r="G49" s="9" t="s">
        <v>235</v>
      </c>
      <c r="H49" s="9" t="s">
        <v>9</v>
      </c>
      <c r="I49" s="10">
        <v>1074</v>
      </c>
      <c r="J49" s="12">
        <f>+I49/12</f>
        <v>89.5</v>
      </c>
      <c r="K49" s="10">
        <f t="shared" si="5"/>
        <v>7.988826815642458</v>
      </c>
      <c r="L49" s="9"/>
      <c r="M49" s="9"/>
      <c r="N49" s="9"/>
    </row>
    <row r="50" spans="1:14" x14ac:dyDescent="0.3">
      <c r="A50" s="9" t="s">
        <v>530</v>
      </c>
      <c r="B50" s="9" t="s">
        <v>468</v>
      </c>
      <c r="C50" s="9">
        <f>23</f>
        <v>23</v>
      </c>
      <c r="D50" s="9">
        <v>18</v>
      </c>
      <c r="E50" s="10">
        <v>572.22743889000003</v>
      </c>
      <c r="F50" s="11">
        <f t="shared" si="4"/>
        <v>10300.093900020001</v>
      </c>
      <c r="G50" s="9" t="s">
        <v>531</v>
      </c>
      <c r="H50" s="9" t="s">
        <v>9</v>
      </c>
      <c r="I50" s="10">
        <v>12</v>
      </c>
      <c r="J50" s="12">
        <f>+I50/12</f>
        <v>1</v>
      </c>
      <c r="K50" s="10">
        <f t="shared" si="5"/>
        <v>23</v>
      </c>
      <c r="L50" s="9"/>
      <c r="M50" s="17">
        <v>45999</v>
      </c>
      <c r="N50" s="9" t="s">
        <v>679</v>
      </c>
    </row>
    <row r="51" spans="1:14" x14ac:dyDescent="0.3">
      <c r="A51" s="9" t="s">
        <v>70</v>
      </c>
      <c r="B51" s="9" t="s">
        <v>7</v>
      </c>
      <c r="C51" s="9">
        <f>32</f>
        <v>32</v>
      </c>
      <c r="D51" s="9">
        <v>24</v>
      </c>
      <c r="E51" s="10">
        <v>421.08607059000002</v>
      </c>
      <c r="F51" s="11">
        <f t="shared" si="4"/>
        <v>10106.065694160001</v>
      </c>
      <c r="G51" s="9" t="s">
        <v>71</v>
      </c>
      <c r="H51" s="9" t="s">
        <v>72</v>
      </c>
      <c r="I51" s="10">
        <v>9</v>
      </c>
      <c r="J51" s="12">
        <f>+I51/6</f>
        <v>1.5</v>
      </c>
      <c r="K51" s="10">
        <f t="shared" si="5"/>
        <v>21.333333333333332</v>
      </c>
      <c r="L51" s="9"/>
      <c r="M51" s="9"/>
      <c r="N51" s="9"/>
    </row>
    <row r="52" spans="1:14" x14ac:dyDescent="0.3">
      <c r="A52" s="9" t="s">
        <v>503</v>
      </c>
      <c r="B52" s="9" t="s">
        <v>468</v>
      </c>
      <c r="C52" s="9">
        <v>13</v>
      </c>
      <c r="D52" s="9">
        <v>13</v>
      </c>
      <c r="E52" s="10">
        <v>750.40146666999999</v>
      </c>
      <c r="F52" s="11">
        <f t="shared" si="4"/>
        <v>9755.2190667100003</v>
      </c>
      <c r="G52" s="9" t="s">
        <v>504</v>
      </c>
      <c r="H52" s="9" t="s">
        <v>9</v>
      </c>
      <c r="I52" s="10">
        <v>1</v>
      </c>
      <c r="J52" s="12">
        <f t="shared" ref="J52:J83" si="7">+I52/12</f>
        <v>8.3333333333333329E-2</v>
      </c>
      <c r="K52" s="10">
        <f t="shared" si="5"/>
        <v>156</v>
      </c>
      <c r="L52" s="9"/>
      <c r="M52" s="9"/>
      <c r="N52" s="9"/>
    </row>
    <row r="53" spans="1:14" x14ac:dyDescent="0.3">
      <c r="A53" s="13" t="s">
        <v>429</v>
      </c>
      <c r="B53" s="13" t="s">
        <v>415</v>
      </c>
      <c r="C53" s="13">
        <v>4</v>
      </c>
      <c r="D53" s="13">
        <v>4</v>
      </c>
      <c r="E53" s="14">
        <v>2420.52</v>
      </c>
      <c r="F53" s="15">
        <f t="shared" si="4"/>
        <v>9682.08</v>
      </c>
      <c r="G53" s="13" t="s">
        <v>430</v>
      </c>
      <c r="H53" s="13" t="s">
        <v>9</v>
      </c>
      <c r="I53" s="14">
        <v>0</v>
      </c>
      <c r="J53" s="16">
        <f t="shared" si="7"/>
        <v>0</v>
      </c>
      <c r="K53" s="14" t="e">
        <f t="shared" si="5"/>
        <v>#DIV/0!</v>
      </c>
      <c r="L53" s="13"/>
      <c r="M53" s="13"/>
      <c r="N53" s="13"/>
    </row>
    <row r="54" spans="1:14" x14ac:dyDescent="0.3">
      <c r="A54" s="9" t="s">
        <v>91</v>
      </c>
      <c r="B54" s="9" t="s">
        <v>7</v>
      </c>
      <c r="C54" s="9">
        <v>3</v>
      </c>
      <c r="D54" s="9">
        <v>1</v>
      </c>
      <c r="E54" s="10">
        <v>9498.4313000000002</v>
      </c>
      <c r="F54" s="11">
        <f t="shared" si="4"/>
        <v>9498.4313000000002</v>
      </c>
      <c r="G54" s="9" t="s">
        <v>92</v>
      </c>
      <c r="H54" s="9" t="s">
        <v>9</v>
      </c>
      <c r="I54" s="10">
        <v>4</v>
      </c>
      <c r="J54" s="12">
        <f t="shared" si="7"/>
        <v>0.33333333333333331</v>
      </c>
      <c r="K54" s="10">
        <f t="shared" si="5"/>
        <v>9</v>
      </c>
      <c r="L54" s="9"/>
      <c r="M54" s="9"/>
      <c r="N54" s="9"/>
    </row>
    <row r="55" spans="1:14" x14ac:dyDescent="0.3">
      <c r="A55" s="9" t="s">
        <v>507</v>
      </c>
      <c r="B55" s="9" t="s">
        <v>468</v>
      </c>
      <c r="C55" s="9">
        <f>49</f>
        <v>49</v>
      </c>
      <c r="D55" s="9">
        <v>42</v>
      </c>
      <c r="E55" s="10">
        <v>166.21701429000001</v>
      </c>
      <c r="F55" s="11">
        <f t="shared" si="4"/>
        <v>6981.1146001800007</v>
      </c>
      <c r="G55" s="9" t="s">
        <v>508</v>
      </c>
      <c r="H55" s="9" t="s">
        <v>9</v>
      </c>
      <c r="I55" s="10">
        <v>15</v>
      </c>
      <c r="J55" s="12">
        <f t="shared" si="7"/>
        <v>1.25</v>
      </c>
      <c r="K55" s="10">
        <f t="shared" si="5"/>
        <v>39.200000000000003</v>
      </c>
      <c r="L55" s="9"/>
      <c r="M55" s="9"/>
      <c r="N55" s="9"/>
    </row>
    <row r="56" spans="1:14" x14ac:dyDescent="0.3">
      <c r="A56" s="13" t="s">
        <v>414</v>
      </c>
      <c r="B56" s="13" t="s">
        <v>415</v>
      </c>
      <c r="C56" s="13">
        <v>6</v>
      </c>
      <c r="D56" s="13">
        <v>6</v>
      </c>
      <c r="E56" s="14">
        <v>1144</v>
      </c>
      <c r="F56" s="15">
        <f t="shared" si="4"/>
        <v>6864</v>
      </c>
      <c r="G56" s="13" t="s">
        <v>416</v>
      </c>
      <c r="H56" s="13" t="s">
        <v>9</v>
      </c>
      <c r="I56" s="14">
        <v>0</v>
      </c>
      <c r="J56" s="16">
        <f t="shared" si="7"/>
        <v>0</v>
      </c>
      <c r="K56" s="14" t="e">
        <f t="shared" si="5"/>
        <v>#DIV/0!</v>
      </c>
      <c r="L56" s="13"/>
      <c r="M56" s="13"/>
      <c r="N56" s="13"/>
    </row>
    <row r="57" spans="1:14" x14ac:dyDescent="0.3">
      <c r="A57" s="9" t="s">
        <v>223</v>
      </c>
      <c r="B57" s="9" t="s">
        <v>183</v>
      </c>
      <c r="C57" s="9">
        <f>4</f>
        <v>4</v>
      </c>
      <c r="D57" s="9">
        <v>1</v>
      </c>
      <c r="E57" s="10">
        <v>6568.9380000000001</v>
      </c>
      <c r="F57" s="11">
        <f t="shared" si="4"/>
        <v>6568.9380000000001</v>
      </c>
      <c r="G57" s="9" t="s">
        <v>224</v>
      </c>
      <c r="H57" s="9" t="s">
        <v>9</v>
      </c>
      <c r="I57" s="10">
        <v>6</v>
      </c>
      <c r="J57" s="12">
        <f t="shared" si="7"/>
        <v>0.5</v>
      </c>
      <c r="K57" s="10">
        <f t="shared" si="5"/>
        <v>8</v>
      </c>
      <c r="L57" s="9"/>
      <c r="M57" s="9"/>
      <c r="N57" s="9"/>
    </row>
    <row r="58" spans="1:14" x14ac:dyDescent="0.3">
      <c r="A58" s="13" t="s">
        <v>470</v>
      </c>
      <c r="B58" s="13" t="s">
        <v>468</v>
      </c>
      <c r="C58" s="13">
        <v>2</v>
      </c>
      <c r="D58" s="13">
        <v>2</v>
      </c>
      <c r="E58" s="14">
        <v>2997.0463</v>
      </c>
      <c r="F58" s="15">
        <f t="shared" si="4"/>
        <v>5994.0925999999999</v>
      </c>
      <c r="G58" s="13" t="s">
        <v>471</v>
      </c>
      <c r="H58" s="13" t="s">
        <v>9</v>
      </c>
      <c r="I58" s="14">
        <v>0</v>
      </c>
      <c r="J58" s="16">
        <f t="shared" si="7"/>
        <v>0</v>
      </c>
      <c r="K58" s="14" t="e">
        <f t="shared" si="5"/>
        <v>#DIV/0!</v>
      </c>
      <c r="L58" s="13"/>
      <c r="M58" s="13"/>
      <c r="N58" s="13"/>
    </row>
    <row r="59" spans="1:14" x14ac:dyDescent="0.3">
      <c r="A59" s="9" t="s">
        <v>520</v>
      </c>
      <c r="B59" s="9" t="s">
        <v>468</v>
      </c>
      <c r="C59" s="9">
        <f>32</f>
        <v>32</v>
      </c>
      <c r="D59" s="9">
        <v>30</v>
      </c>
      <c r="E59" s="10">
        <v>188.67199343999999</v>
      </c>
      <c r="F59" s="11">
        <f t="shared" si="4"/>
        <v>5660.1598032000002</v>
      </c>
      <c r="G59" s="9" t="s">
        <v>521</v>
      </c>
      <c r="H59" s="9" t="s">
        <v>9</v>
      </c>
      <c r="I59" s="10">
        <v>5</v>
      </c>
      <c r="J59" s="12">
        <f t="shared" si="7"/>
        <v>0.41666666666666669</v>
      </c>
      <c r="K59" s="10">
        <f t="shared" si="5"/>
        <v>76.8</v>
      </c>
      <c r="L59" s="9"/>
      <c r="M59" s="17">
        <v>45940</v>
      </c>
      <c r="N59" s="9" t="s">
        <v>678</v>
      </c>
    </row>
    <row r="60" spans="1:14" x14ac:dyDescent="0.3">
      <c r="A60" s="9" t="s">
        <v>83</v>
      </c>
      <c r="B60" s="9" t="s">
        <v>7</v>
      </c>
      <c r="C60" s="9">
        <v>13</v>
      </c>
      <c r="D60" s="9">
        <v>13</v>
      </c>
      <c r="E60" s="10">
        <v>418.50576923</v>
      </c>
      <c r="F60" s="11">
        <f t="shared" si="4"/>
        <v>5440.5749999899999</v>
      </c>
      <c r="G60" s="9" t="s">
        <v>84</v>
      </c>
      <c r="H60" s="9" t="s">
        <v>9</v>
      </c>
      <c r="I60" s="10">
        <v>2</v>
      </c>
      <c r="J60" s="12">
        <f t="shared" si="7"/>
        <v>0.16666666666666666</v>
      </c>
      <c r="K60" s="10">
        <f t="shared" si="5"/>
        <v>78</v>
      </c>
      <c r="L60" s="9"/>
      <c r="M60" s="9"/>
      <c r="N60" s="9"/>
    </row>
    <row r="61" spans="1:14" x14ac:dyDescent="0.3">
      <c r="A61" s="13" t="s">
        <v>524</v>
      </c>
      <c r="B61" s="13" t="s">
        <v>468</v>
      </c>
      <c r="C61" s="13">
        <v>10</v>
      </c>
      <c r="D61" s="13">
        <v>10</v>
      </c>
      <c r="E61" s="14">
        <v>515.32360000000006</v>
      </c>
      <c r="F61" s="15">
        <f t="shared" si="4"/>
        <v>5153.2360000000008</v>
      </c>
      <c r="G61" s="13" t="s">
        <v>525</v>
      </c>
      <c r="H61" s="13" t="s">
        <v>9</v>
      </c>
      <c r="I61" s="14">
        <v>0</v>
      </c>
      <c r="J61" s="16">
        <f t="shared" si="7"/>
        <v>0</v>
      </c>
      <c r="K61" s="14" t="e">
        <f t="shared" si="5"/>
        <v>#DIV/0!</v>
      </c>
      <c r="L61" s="13"/>
      <c r="M61" s="13"/>
      <c r="N61" s="13"/>
    </row>
    <row r="62" spans="1:14" x14ac:dyDescent="0.3">
      <c r="A62" s="9" t="s">
        <v>478</v>
      </c>
      <c r="B62" s="9" t="s">
        <v>468</v>
      </c>
      <c r="C62" s="9">
        <v>28</v>
      </c>
      <c r="D62" s="9">
        <v>28</v>
      </c>
      <c r="E62" s="10">
        <v>166.57618124999999</v>
      </c>
      <c r="F62" s="11">
        <f t="shared" si="4"/>
        <v>4664.1330749999997</v>
      </c>
      <c r="G62" s="9" t="s">
        <v>478</v>
      </c>
      <c r="H62" s="9" t="s">
        <v>9</v>
      </c>
      <c r="I62" s="10">
        <v>11</v>
      </c>
      <c r="J62" s="12">
        <f t="shared" si="7"/>
        <v>0.91666666666666663</v>
      </c>
      <c r="K62" s="10">
        <f t="shared" si="5"/>
        <v>30.545454545454547</v>
      </c>
      <c r="L62" s="9"/>
      <c r="M62" s="9"/>
      <c r="N62" s="9"/>
    </row>
    <row r="63" spans="1:14" x14ac:dyDescent="0.3">
      <c r="A63" s="13" t="s">
        <v>546</v>
      </c>
      <c r="B63" s="13" t="s">
        <v>468</v>
      </c>
      <c r="C63" s="13">
        <v>1</v>
      </c>
      <c r="D63" s="13">
        <v>1</v>
      </c>
      <c r="E63" s="14">
        <v>3893.1378</v>
      </c>
      <c r="F63" s="15">
        <f t="shared" si="4"/>
        <v>3893.1378</v>
      </c>
      <c r="G63" s="13" t="s">
        <v>547</v>
      </c>
      <c r="H63" s="13" t="s">
        <v>9</v>
      </c>
      <c r="I63" s="14">
        <v>0</v>
      </c>
      <c r="J63" s="16">
        <f t="shared" si="7"/>
        <v>0</v>
      </c>
      <c r="K63" s="14" t="e">
        <f t="shared" si="5"/>
        <v>#DIV/0!</v>
      </c>
      <c r="L63" s="13"/>
      <c r="M63" s="13"/>
      <c r="N63" s="13"/>
    </row>
    <row r="64" spans="1:14" x14ac:dyDescent="0.3">
      <c r="A64" s="9" t="s">
        <v>58</v>
      </c>
      <c r="B64" s="9" t="s">
        <v>7</v>
      </c>
      <c r="C64" s="9">
        <v>27</v>
      </c>
      <c r="D64" s="9">
        <v>27</v>
      </c>
      <c r="E64" s="10">
        <v>141.60169999999999</v>
      </c>
      <c r="F64" s="11">
        <f t="shared" si="4"/>
        <v>3823.2458999999999</v>
      </c>
      <c r="G64" s="9" t="s">
        <v>59</v>
      </c>
      <c r="H64" s="9" t="s">
        <v>9</v>
      </c>
      <c r="I64" s="10">
        <v>3</v>
      </c>
      <c r="J64" s="12">
        <f t="shared" si="7"/>
        <v>0.25</v>
      </c>
      <c r="K64" s="10">
        <f t="shared" si="5"/>
        <v>108</v>
      </c>
      <c r="L64" s="9"/>
      <c r="M64" s="9"/>
      <c r="N64" s="9"/>
    </row>
    <row r="65" spans="1:14" x14ac:dyDescent="0.3">
      <c r="A65" s="9" t="s">
        <v>571</v>
      </c>
      <c r="B65" s="9" t="s">
        <v>565</v>
      </c>
      <c r="C65" s="9">
        <f>58</f>
        <v>58</v>
      </c>
      <c r="D65" s="9">
        <v>28</v>
      </c>
      <c r="E65" s="10">
        <v>130.91882817000001</v>
      </c>
      <c r="F65" s="11">
        <f t="shared" si="4"/>
        <v>3665.7271887600004</v>
      </c>
      <c r="G65" s="9" t="s">
        <v>572</v>
      </c>
      <c r="H65" s="9" t="s">
        <v>9</v>
      </c>
      <c r="I65" s="10">
        <v>69</v>
      </c>
      <c r="J65" s="12">
        <f t="shared" si="7"/>
        <v>5.75</v>
      </c>
      <c r="K65" s="10">
        <f t="shared" si="5"/>
        <v>10.086956521739131</v>
      </c>
      <c r="L65" s="9"/>
      <c r="M65" s="9"/>
      <c r="N65" s="9"/>
    </row>
    <row r="66" spans="1:14" x14ac:dyDescent="0.3">
      <c r="A66" s="13" t="s">
        <v>427</v>
      </c>
      <c r="B66" s="13" t="s">
        <v>415</v>
      </c>
      <c r="C66" s="13">
        <v>1</v>
      </c>
      <c r="D66" s="13">
        <v>1</v>
      </c>
      <c r="E66" s="14">
        <v>3439.4344999999998</v>
      </c>
      <c r="F66" s="15">
        <f t="shared" ref="F66:F97" si="8">+D66*E66</f>
        <v>3439.4344999999998</v>
      </c>
      <c r="G66" s="13" t="s">
        <v>428</v>
      </c>
      <c r="H66" s="13" t="s">
        <v>9</v>
      </c>
      <c r="I66" s="14">
        <v>0</v>
      </c>
      <c r="J66" s="16">
        <f t="shared" si="7"/>
        <v>0</v>
      </c>
      <c r="K66" s="14" t="e">
        <f t="shared" ref="K66:K97" si="9">+C66/J66</f>
        <v>#DIV/0!</v>
      </c>
      <c r="L66" s="13"/>
      <c r="M66" s="13"/>
      <c r="N66" s="13"/>
    </row>
    <row r="67" spans="1:14" x14ac:dyDescent="0.3">
      <c r="A67" s="9" t="s">
        <v>461</v>
      </c>
      <c r="B67" s="9" t="s">
        <v>415</v>
      </c>
      <c r="C67" s="9">
        <v>9</v>
      </c>
      <c r="D67" s="9">
        <v>9</v>
      </c>
      <c r="E67" s="10">
        <v>379.12515714</v>
      </c>
      <c r="F67" s="11">
        <f t="shared" si="8"/>
        <v>3412.1264142599998</v>
      </c>
      <c r="G67" s="9" t="s">
        <v>462</v>
      </c>
      <c r="H67" s="9" t="s">
        <v>9</v>
      </c>
      <c r="I67" s="10">
        <v>4</v>
      </c>
      <c r="J67" s="12">
        <f t="shared" si="7"/>
        <v>0.33333333333333331</v>
      </c>
      <c r="K67" s="10">
        <f t="shared" si="9"/>
        <v>27</v>
      </c>
      <c r="L67" s="9"/>
      <c r="M67" s="9"/>
      <c r="N67" s="9"/>
    </row>
    <row r="68" spans="1:14" x14ac:dyDescent="0.3">
      <c r="A68" s="13" t="s">
        <v>534</v>
      </c>
      <c r="B68" s="13" t="s">
        <v>468</v>
      </c>
      <c r="C68" s="13">
        <v>1</v>
      </c>
      <c r="D68" s="13">
        <v>1</v>
      </c>
      <c r="E68" s="14">
        <v>3153.9332203099998</v>
      </c>
      <c r="F68" s="15">
        <f t="shared" si="8"/>
        <v>3153.9332203099998</v>
      </c>
      <c r="G68" s="13" t="s">
        <v>535</v>
      </c>
      <c r="H68" s="13" t="s">
        <v>9</v>
      </c>
      <c r="I68" s="14">
        <v>0</v>
      </c>
      <c r="J68" s="16">
        <f t="shared" si="7"/>
        <v>0</v>
      </c>
      <c r="K68" s="14" t="e">
        <f t="shared" si="9"/>
        <v>#DIV/0!</v>
      </c>
      <c r="L68" s="13"/>
      <c r="M68" s="13"/>
      <c r="N68" s="13"/>
    </row>
    <row r="69" spans="1:14" x14ac:dyDescent="0.3">
      <c r="A69" s="9" t="s">
        <v>589</v>
      </c>
      <c r="B69" s="9" t="s">
        <v>565</v>
      </c>
      <c r="C69" s="9">
        <f>80</f>
        <v>80</v>
      </c>
      <c r="D69" s="9">
        <v>40</v>
      </c>
      <c r="E69" s="10">
        <v>77.868799999999993</v>
      </c>
      <c r="F69" s="11">
        <f t="shared" si="8"/>
        <v>3114.7519999999995</v>
      </c>
      <c r="G69" s="9" t="s">
        <v>590</v>
      </c>
      <c r="H69" s="9" t="s">
        <v>9</v>
      </c>
      <c r="I69" s="10">
        <v>94</v>
      </c>
      <c r="J69" s="12">
        <f t="shared" si="7"/>
        <v>7.833333333333333</v>
      </c>
      <c r="K69" s="10">
        <f t="shared" si="9"/>
        <v>10.212765957446809</v>
      </c>
      <c r="L69" s="9"/>
      <c r="M69" s="9"/>
      <c r="N69" s="9"/>
    </row>
    <row r="70" spans="1:14" x14ac:dyDescent="0.3">
      <c r="A70" s="13" t="s">
        <v>48</v>
      </c>
      <c r="B70" s="13" t="s">
        <v>7</v>
      </c>
      <c r="C70" s="13">
        <v>6</v>
      </c>
      <c r="D70" s="13">
        <v>6</v>
      </c>
      <c r="E70" s="14">
        <v>512.66669999999999</v>
      </c>
      <c r="F70" s="15">
        <f t="shared" si="8"/>
        <v>3076.0001999999999</v>
      </c>
      <c r="G70" s="13" t="s">
        <v>49</v>
      </c>
      <c r="H70" s="13" t="s">
        <v>9</v>
      </c>
      <c r="I70" s="14">
        <v>0</v>
      </c>
      <c r="J70" s="16">
        <f t="shared" si="7"/>
        <v>0</v>
      </c>
      <c r="K70" s="14" t="e">
        <f t="shared" si="9"/>
        <v>#DIV/0!</v>
      </c>
      <c r="L70" s="13"/>
      <c r="M70" s="13"/>
      <c r="N70" s="13"/>
    </row>
    <row r="71" spans="1:14" x14ac:dyDescent="0.3">
      <c r="A71" s="13" t="s">
        <v>562</v>
      </c>
      <c r="B71" s="13" t="s">
        <v>468</v>
      </c>
      <c r="C71" s="13">
        <v>1</v>
      </c>
      <c r="D71" s="13">
        <v>1</v>
      </c>
      <c r="E71" s="14">
        <v>2974.5383999999999</v>
      </c>
      <c r="F71" s="15">
        <f t="shared" si="8"/>
        <v>2974.5383999999999</v>
      </c>
      <c r="G71" s="13" t="s">
        <v>563</v>
      </c>
      <c r="H71" s="13" t="s">
        <v>9</v>
      </c>
      <c r="I71" s="14">
        <v>0</v>
      </c>
      <c r="J71" s="16">
        <f t="shared" si="7"/>
        <v>0</v>
      </c>
      <c r="K71" s="14" t="e">
        <f t="shared" si="9"/>
        <v>#DIV/0!</v>
      </c>
      <c r="L71" s="13"/>
      <c r="M71" s="13"/>
      <c r="N71" s="13"/>
    </row>
    <row r="72" spans="1:14" x14ac:dyDescent="0.3">
      <c r="A72" s="9" t="s">
        <v>465</v>
      </c>
      <c r="B72" s="9" t="s">
        <v>415</v>
      </c>
      <c r="C72" s="9">
        <f>10-7</f>
        <v>3</v>
      </c>
      <c r="D72" s="9">
        <v>3</v>
      </c>
      <c r="E72" s="10">
        <v>985.60731121000003</v>
      </c>
      <c r="F72" s="11">
        <f t="shared" si="8"/>
        <v>2956.8219336299999</v>
      </c>
      <c r="G72" s="9" t="s">
        <v>466</v>
      </c>
      <c r="H72" s="9" t="s">
        <v>9</v>
      </c>
      <c r="I72" s="10">
        <v>16</v>
      </c>
      <c r="J72" s="12">
        <f t="shared" si="7"/>
        <v>1.3333333333333333</v>
      </c>
      <c r="K72" s="10">
        <f t="shared" si="9"/>
        <v>2.25</v>
      </c>
      <c r="L72" s="9"/>
      <c r="M72" s="9"/>
      <c r="N72" s="9"/>
    </row>
    <row r="73" spans="1:14" x14ac:dyDescent="0.3">
      <c r="A73" s="9" t="s">
        <v>613</v>
      </c>
      <c r="B73" s="9" t="s">
        <v>565</v>
      </c>
      <c r="C73" s="9">
        <v>3</v>
      </c>
      <c r="D73" s="9">
        <v>3</v>
      </c>
      <c r="E73" s="10">
        <v>891.03530000000001</v>
      </c>
      <c r="F73" s="11">
        <f t="shared" si="8"/>
        <v>2673.1059</v>
      </c>
      <c r="G73" s="9" t="s">
        <v>614</v>
      </c>
      <c r="H73" s="9" t="s">
        <v>9</v>
      </c>
      <c r="I73" s="10">
        <v>2</v>
      </c>
      <c r="J73" s="12">
        <f t="shared" si="7"/>
        <v>0.16666666666666666</v>
      </c>
      <c r="K73" s="10">
        <f t="shared" si="9"/>
        <v>18</v>
      </c>
      <c r="L73" s="9"/>
      <c r="M73" s="9"/>
      <c r="N73" s="9"/>
    </row>
    <row r="74" spans="1:14" x14ac:dyDescent="0.3">
      <c r="A74" s="13" t="s">
        <v>463</v>
      </c>
      <c r="B74" s="13" t="s">
        <v>415</v>
      </c>
      <c r="C74" s="13">
        <v>4</v>
      </c>
      <c r="D74" s="13">
        <v>4</v>
      </c>
      <c r="E74" s="14">
        <v>591.01350000000002</v>
      </c>
      <c r="F74" s="15">
        <f t="shared" si="8"/>
        <v>2364.0540000000001</v>
      </c>
      <c r="G74" s="13" t="s">
        <v>464</v>
      </c>
      <c r="H74" s="13" t="s">
        <v>9</v>
      </c>
      <c r="I74" s="14">
        <v>0</v>
      </c>
      <c r="J74" s="16">
        <f t="shared" si="7"/>
        <v>0</v>
      </c>
      <c r="K74" s="14" t="e">
        <f t="shared" si="9"/>
        <v>#DIV/0!</v>
      </c>
      <c r="L74" s="13"/>
      <c r="M74" s="13"/>
      <c r="N74" s="13"/>
    </row>
    <row r="75" spans="1:14" x14ac:dyDescent="0.3">
      <c r="A75" s="13" t="s">
        <v>139</v>
      </c>
      <c r="B75" s="13" t="s">
        <v>109</v>
      </c>
      <c r="C75" s="13">
        <v>1</v>
      </c>
      <c r="D75" s="13">
        <v>1</v>
      </c>
      <c r="E75" s="14">
        <v>2203.7930999999999</v>
      </c>
      <c r="F75" s="15">
        <f t="shared" si="8"/>
        <v>2203.7930999999999</v>
      </c>
      <c r="G75" s="13" t="s">
        <v>140</v>
      </c>
      <c r="H75" s="13" t="s">
        <v>9</v>
      </c>
      <c r="I75" s="14">
        <v>0</v>
      </c>
      <c r="J75" s="16">
        <f t="shared" si="7"/>
        <v>0</v>
      </c>
      <c r="K75" s="14" t="e">
        <f t="shared" si="9"/>
        <v>#DIV/0!</v>
      </c>
      <c r="L75" s="13"/>
      <c r="M75" s="13"/>
      <c r="N75" s="13"/>
    </row>
    <row r="76" spans="1:14" x14ac:dyDescent="0.3">
      <c r="A76" s="9" t="s">
        <v>540</v>
      </c>
      <c r="B76" s="9" t="s">
        <v>468</v>
      </c>
      <c r="C76" s="9">
        <f>21</f>
        <v>21</v>
      </c>
      <c r="D76" s="9">
        <v>12</v>
      </c>
      <c r="E76" s="10">
        <v>181.90747826</v>
      </c>
      <c r="F76" s="11">
        <f t="shared" si="8"/>
        <v>2182.8897391199998</v>
      </c>
      <c r="G76" s="9" t="s">
        <v>541</v>
      </c>
      <c r="H76" s="9" t="s">
        <v>9</v>
      </c>
      <c r="I76" s="10">
        <v>20</v>
      </c>
      <c r="J76" s="12">
        <f t="shared" si="7"/>
        <v>1.6666666666666667</v>
      </c>
      <c r="K76" s="10">
        <f t="shared" si="9"/>
        <v>12.6</v>
      </c>
      <c r="L76" s="9"/>
      <c r="M76" s="17">
        <v>46042</v>
      </c>
      <c r="N76" s="9" t="s">
        <v>679</v>
      </c>
    </row>
    <row r="77" spans="1:14" x14ac:dyDescent="0.3">
      <c r="A77" s="9" t="s">
        <v>101</v>
      </c>
      <c r="B77" s="9" t="s">
        <v>7</v>
      </c>
      <c r="C77" s="9">
        <f>21</f>
        <v>21</v>
      </c>
      <c r="D77" s="9">
        <v>14</v>
      </c>
      <c r="E77" s="10">
        <v>146.55311922999999</v>
      </c>
      <c r="F77" s="11">
        <f t="shared" si="8"/>
        <v>2051.7436692199999</v>
      </c>
      <c r="G77" s="9" t="s">
        <v>102</v>
      </c>
      <c r="H77" s="9" t="s">
        <v>9</v>
      </c>
      <c r="I77" s="10">
        <v>15</v>
      </c>
      <c r="J77" s="12">
        <f t="shared" si="7"/>
        <v>1.25</v>
      </c>
      <c r="K77" s="10">
        <f t="shared" si="9"/>
        <v>16.8</v>
      </c>
      <c r="L77" s="9"/>
      <c r="M77" s="9"/>
      <c r="N77" s="9"/>
    </row>
    <row r="78" spans="1:14" x14ac:dyDescent="0.3">
      <c r="A78" s="9" t="s">
        <v>583</v>
      </c>
      <c r="B78" s="9" t="s">
        <v>565</v>
      </c>
      <c r="C78" s="9">
        <f>58</f>
        <v>58</v>
      </c>
      <c r="D78" s="9">
        <v>38</v>
      </c>
      <c r="E78" s="10">
        <v>52.852317239999998</v>
      </c>
      <c r="F78" s="11">
        <f t="shared" si="8"/>
        <v>2008.38805512</v>
      </c>
      <c r="G78" s="9" t="s">
        <v>584</v>
      </c>
      <c r="H78" s="9" t="s">
        <v>9</v>
      </c>
      <c r="I78" s="10">
        <v>45</v>
      </c>
      <c r="J78" s="12">
        <f t="shared" si="7"/>
        <v>3.75</v>
      </c>
      <c r="K78" s="10">
        <f t="shared" si="9"/>
        <v>15.466666666666667</v>
      </c>
      <c r="L78" s="9"/>
      <c r="M78" s="9"/>
      <c r="N78" s="9"/>
    </row>
    <row r="79" spans="1:14" x14ac:dyDescent="0.3">
      <c r="A79" s="13" t="s">
        <v>137</v>
      </c>
      <c r="B79" s="13" t="s">
        <v>109</v>
      </c>
      <c r="C79" s="13">
        <v>1</v>
      </c>
      <c r="D79" s="13">
        <v>1</v>
      </c>
      <c r="E79" s="14">
        <v>1940.17</v>
      </c>
      <c r="F79" s="15">
        <f t="shared" si="8"/>
        <v>1940.17</v>
      </c>
      <c r="G79" s="13" t="s">
        <v>138</v>
      </c>
      <c r="H79" s="13" t="s">
        <v>9</v>
      </c>
      <c r="I79" s="14">
        <v>0</v>
      </c>
      <c r="J79" s="16">
        <f t="shared" si="7"/>
        <v>0</v>
      </c>
      <c r="K79" s="14" t="e">
        <f t="shared" si="9"/>
        <v>#DIV/0!</v>
      </c>
      <c r="L79" s="13"/>
      <c r="M79" s="13"/>
      <c r="N79" s="13"/>
    </row>
    <row r="80" spans="1:14" x14ac:dyDescent="0.3">
      <c r="A80" s="13" t="s">
        <v>143</v>
      </c>
      <c r="B80" s="13" t="s">
        <v>109</v>
      </c>
      <c r="C80" s="13">
        <v>1</v>
      </c>
      <c r="D80" s="13">
        <v>1</v>
      </c>
      <c r="E80" s="14">
        <v>1902.76</v>
      </c>
      <c r="F80" s="15">
        <f t="shared" si="8"/>
        <v>1902.76</v>
      </c>
      <c r="G80" s="13" t="s">
        <v>144</v>
      </c>
      <c r="H80" s="13" t="s">
        <v>9</v>
      </c>
      <c r="I80" s="14">
        <v>0</v>
      </c>
      <c r="J80" s="16">
        <f t="shared" si="7"/>
        <v>0</v>
      </c>
      <c r="K80" s="14" t="e">
        <f t="shared" si="9"/>
        <v>#DIV/0!</v>
      </c>
      <c r="L80" s="13"/>
      <c r="M80" s="13"/>
      <c r="N80" s="13"/>
    </row>
    <row r="81" spans="1:14" x14ac:dyDescent="0.3">
      <c r="A81" s="13" t="s">
        <v>526</v>
      </c>
      <c r="B81" s="13" t="s">
        <v>468</v>
      </c>
      <c r="C81" s="13">
        <v>3</v>
      </c>
      <c r="D81" s="13">
        <v>3</v>
      </c>
      <c r="E81" s="14">
        <v>632.55809999999997</v>
      </c>
      <c r="F81" s="15">
        <f t="shared" si="8"/>
        <v>1897.6742999999999</v>
      </c>
      <c r="G81" s="13" t="s">
        <v>527</v>
      </c>
      <c r="H81" s="13" t="s">
        <v>9</v>
      </c>
      <c r="I81" s="14">
        <v>0</v>
      </c>
      <c r="J81" s="16">
        <f t="shared" si="7"/>
        <v>0</v>
      </c>
      <c r="K81" s="14" t="e">
        <f t="shared" si="9"/>
        <v>#DIV/0!</v>
      </c>
      <c r="L81" s="13"/>
      <c r="M81" s="13"/>
      <c r="N81" s="13"/>
    </row>
    <row r="82" spans="1:14" x14ac:dyDescent="0.3">
      <c r="A82" s="13" t="s">
        <v>419</v>
      </c>
      <c r="B82" s="13" t="s">
        <v>415</v>
      </c>
      <c r="C82" s="13">
        <v>1</v>
      </c>
      <c r="D82" s="13">
        <v>1</v>
      </c>
      <c r="E82" s="14">
        <v>1879.89</v>
      </c>
      <c r="F82" s="15">
        <f t="shared" si="8"/>
        <v>1879.89</v>
      </c>
      <c r="G82" s="13" t="s">
        <v>420</v>
      </c>
      <c r="H82" s="13" t="s">
        <v>9</v>
      </c>
      <c r="I82" s="14">
        <v>0</v>
      </c>
      <c r="J82" s="16">
        <f t="shared" si="7"/>
        <v>0</v>
      </c>
      <c r="K82" s="14" t="e">
        <f t="shared" si="9"/>
        <v>#DIV/0!</v>
      </c>
      <c r="L82" s="13"/>
      <c r="M82" s="13"/>
      <c r="N82" s="13"/>
    </row>
    <row r="83" spans="1:14" x14ac:dyDescent="0.3">
      <c r="A83" s="13" t="s">
        <v>398</v>
      </c>
      <c r="B83" s="13" t="s">
        <v>399</v>
      </c>
      <c r="C83" s="13">
        <v>1</v>
      </c>
      <c r="D83" s="13">
        <v>1</v>
      </c>
      <c r="E83" s="14">
        <v>1858.45815416</v>
      </c>
      <c r="F83" s="15">
        <f t="shared" si="8"/>
        <v>1858.45815416</v>
      </c>
      <c r="G83" s="13" t="s">
        <v>400</v>
      </c>
      <c r="H83" s="13" t="s">
        <v>9</v>
      </c>
      <c r="I83" s="14">
        <v>0</v>
      </c>
      <c r="J83" s="16">
        <f t="shared" si="7"/>
        <v>0</v>
      </c>
      <c r="K83" s="14" t="e">
        <f t="shared" si="9"/>
        <v>#DIV/0!</v>
      </c>
      <c r="L83" s="13"/>
      <c r="M83" s="13"/>
      <c r="N83" s="13"/>
    </row>
    <row r="84" spans="1:14" x14ac:dyDescent="0.3">
      <c r="A84" s="13" t="s">
        <v>133</v>
      </c>
      <c r="B84" s="13" t="s">
        <v>109</v>
      </c>
      <c r="C84" s="13">
        <v>1</v>
      </c>
      <c r="D84" s="13">
        <v>1</v>
      </c>
      <c r="E84" s="14">
        <v>1598.11</v>
      </c>
      <c r="F84" s="15">
        <f t="shared" si="8"/>
        <v>1598.11</v>
      </c>
      <c r="G84" s="13" t="s">
        <v>134</v>
      </c>
      <c r="H84" s="13" t="s">
        <v>9</v>
      </c>
      <c r="I84" s="14">
        <v>0</v>
      </c>
      <c r="J84" s="16">
        <f t="shared" ref="J84:J115" si="10">+I84/12</f>
        <v>0</v>
      </c>
      <c r="K84" s="14" t="e">
        <f t="shared" si="9"/>
        <v>#DIV/0!</v>
      </c>
      <c r="L84" s="13"/>
      <c r="M84" s="13"/>
      <c r="N84" s="13"/>
    </row>
    <row r="85" spans="1:14" x14ac:dyDescent="0.3">
      <c r="A85" s="13" t="s">
        <v>127</v>
      </c>
      <c r="B85" s="13" t="s">
        <v>109</v>
      </c>
      <c r="C85" s="13">
        <v>1</v>
      </c>
      <c r="D85" s="13">
        <v>1</v>
      </c>
      <c r="E85" s="14">
        <v>1595.43</v>
      </c>
      <c r="F85" s="15">
        <f t="shared" si="8"/>
        <v>1595.43</v>
      </c>
      <c r="G85" s="13" t="s">
        <v>128</v>
      </c>
      <c r="H85" s="13" t="s">
        <v>9</v>
      </c>
      <c r="I85" s="14">
        <v>0</v>
      </c>
      <c r="J85" s="16">
        <f t="shared" si="10"/>
        <v>0</v>
      </c>
      <c r="K85" s="14" t="e">
        <f t="shared" si="9"/>
        <v>#DIV/0!</v>
      </c>
      <c r="L85" s="13"/>
      <c r="M85" s="13"/>
      <c r="N85" s="13"/>
    </row>
    <row r="86" spans="1:14" x14ac:dyDescent="0.3">
      <c r="A86" s="13" t="s">
        <v>528</v>
      </c>
      <c r="B86" s="13" t="s">
        <v>468</v>
      </c>
      <c r="C86" s="13">
        <v>1</v>
      </c>
      <c r="D86" s="13">
        <v>1</v>
      </c>
      <c r="E86" s="14">
        <v>1487.2692</v>
      </c>
      <c r="F86" s="15">
        <f t="shared" si="8"/>
        <v>1487.2692</v>
      </c>
      <c r="G86" s="13" t="s">
        <v>529</v>
      </c>
      <c r="H86" s="13" t="s">
        <v>9</v>
      </c>
      <c r="I86" s="14">
        <v>0</v>
      </c>
      <c r="J86" s="16">
        <f t="shared" si="10"/>
        <v>0</v>
      </c>
      <c r="K86" s="14" t="e">
        <f t="shared" si="9"/>
        <v>#DIV/0!</v>
      </c>
      <c r="L86" s="13"/>
      <c r="M86" s="13"/>
      <c r="N86" s="13"/>
    </row>
    <row r="87" spans="1:14" x14ac:dyDescent="0.3">
      <c r="A87" s="13" t="s">
        <v>111</v>
      </c>
      <c r="B87" s="13" t="s">
        <v>109</v>
      </c>
      <c r="C87" s="13">
        <v>1</v>
      </c>
      <c r="D87" s="13">
        <v>1</v>
      </c>
      <c r="E87" s="14">
        <v>1282.76</v>
      </c>
      <c r="F87" s="15">
        <f t="shared" si="8"/>
        <v>1282.76</v>
      </c>
      <c r="G87" s="13" t="s">
        <v>112</v>
      </c>
      <c r="H87" s="13" t="s">
        <v>9</v>
      </c>
      <c r="I87" s="14">
        <v>0</v>
      </c>
      <c r="J87" s="16">
        <f t="shared" si="10"/>
        <v>0</v>
      </c>
      <c r="K87" s="14" t="e">
        <f t="shared" si="9"/>
        <v>#DIV/0!</v>
      </c>
      <c r="L87" s="13"/>
      <c r="M87" s="13"/>
      <c r="N87" s="13"/>
    </row>
    <row r="88" spans="1:14" x14ac:dyDescent="0.3">
      <c r="A88" s="13" t="s">
        <v>147</v>
      </c>
      <c r="B88" s="13" t="s">
        <v>109</v>
      </c>
      <c r="C88" s="13">
        <v>1</v>
      </c>
      <c r="D88" s="13">
        <v>1</v>
      </c>
      <c r="E88" s="14">
        <v>1229.31</v>
      </c>
      <c r="F88" s="15">
        <f t="shared" si="8"/>
        <v>1229.31</v>
      </c>
      <c r="G88" s="13" t="s">
        <v>148</v>
      </c>
      <c r="H88" s="13" t="s">
        <v>9</v>
      </c>
      <c r="I88" s="14">
        <v>0</v>
      </c>
      <c r="J88" s="16">
        <f t="shared" si="10"/>
        <v>0</v>
      </c>
      <c r="K88" s="14" t="e">
        <f t="shared" si="9"/>
        <v>#DIV/0!</v>
      </c>
      <c r="L88" s="13"/>
      <c r="M88" s="13"/>
      <c r="N88" s="13"/>
    </row>
    <row r="89" spans="1:14" x14ac:dyDescent="0.3">
      <c r="A89" s="13" t="s">
        <v>485</v>
      </c>
      <c r="B89" s="13" t="s">
        <v>468</v>
      </c>
      <c r="C89" s="13">
        <v>3</v>
      </c>
      <c r="D89" s="13">
        <v>3</v>
      </c>
      <c r="E89" s="14">
        <v>383.19</v>
      </c>
      <c r="F89" s="15">
        <f t="shared" si="8"/>
        <v>1149.57</v>
      </c>
      <c r="G89" s="13" t="s">
        <v>486</v>
      </c>
      <c r="H89" s="13" t="s">
        <v>9</v>
      </c>
      <c r="I89" s="14">
        <v>0</v>
      </c>
      <c r="J89" s="16">
        <f t="shared" si="10"/>
        <v>0</v>
      </c>
      <c r="K89" s="14" t="e">
        <f t="shared" si="9"/>
        <v>#DIV/0!</v>
      </c>
      <c r="L89" s="13"/>
      <c r="M89" s="13"/>
      <c r="N89" s="13"/>
    </row>
    <row r="90" spans="1:14" x14ac:dyDescent="0.3">
      <c r="A90" s="13" t="s">
        <v>108</v>
      </c>
      <c r="B90" s="13" t="s">
        <v>109</v>
      </c>
      <c r="C90" s="13">
        <v>1</v>
      </c>
      <c r="D90" s="13">
        <v>1</v>
      </c>
      <c r="E90" s="14">
        <v>1122.4100000000001</v>
      </c>
      <c r="F90" s="15">
        <f t="shared" si="8"/>
        <v>1122.4100000000001</v>
      </c>
      <c r="G90" s="13" t="s">
        <v>110</v>
      </c>
      <c r="H90" s="13" t="s">
        <v>9</v>
      </c>
      <c r="I90" s="14">
        <v>0</v>
      </c>
      <c r="J90" s="16">
        <f t="shared" si="10"/>
        <v>0</v>
      </c>
      <c r="K90" s="14" t="e">
        <f t="shared" si="9"/>
        <v>#DIV/0!</v>
      </c>
      <c r="L90" s="13"/>
      <c r="M90" s="13"/>
      <c r="N90" s="13"/>
    </row>
    <row r="91" spans="1:14" x14ac:dyDescent="0.3">
      <c r="A91" s="13" t="s">
        <v>125</v>
      </c>
      <c r="B91" s="13" t="s">
        <v>109</v>
      </c>
      <c r="C91" s="13">
        <v>1</v>
      </c>
      <c r="D91" s="13">
        <v>1</v>
      </c>
      <c r="E91" s="14">
        <v>1122.345</v>
      </c>
      <c r="F91" s="15">
        <f t="shared" si="8"/>
        <v>1122.345</v>
      </c>
      <c r="G91" s="13" t="s">
        <v>126</v>
      </c>
      <c r="H91" s="13" t="s">
        <v>9</v>
      </c>
      <c r="I91" s="14">
        <v>0</v>
      </c>
      <c r="J91" s="16">
        <f t="shared" si="10"/>
        <v>0</v>
      </c>
      <c r="K91" s="14" t="e">
        <f t="shared" si="9"/>
        <v>#DIV/0!</v>
      </c>
      <c r="L91" s="13"/>
      <c r="M91" s="13"/>
      <c r="N91" s="13"/>
    </row>
    <row r="92" spans="1:14" x14ac:dyDescent="0.3">
      <c r="A92" s="9" t="s">
        <v>44</v>
      </c>
      <c r="B92" s="9" t="s">
        <v>7</v>
      </c>
      <c r="C92" s="9">
        <f>41</f>
        <v>41</v>
      </c>
      <c r="D92" s="9">
        <v>11</v>
      </c>
      <c r="E92" s="10">
        <v>89.065065369999999</v>
      </c>
      <c r="F92" s="11">
        <f t="shared" si="8"/>
        <v>979.71571906999998</v>
      </c>
      <c r="G92" s="9" t="s">
        <v>45</v>
      </c>
      <c r="H92" s="9" t="s">
        <v>9</v>
      </c>
      <c r="I92" s="10">
        <v>68</v>
      </c>
      <c r="J92" s="12">
        <f t="shared" si="10"/>
        <v>5.666666666666667</v>
      </c>
      <c r="K92" s="10">
        <f t="shared" si="9"/>
        <v>7.2352941176470589</v>
      </c>
      <c r="L92" s="9"/>
      <c r="M92" s="9"/>
      <c r="N92" s="9"/>
    </row>
    <row r="93" spans="1:14" x14ac:dyDescent="0.3">
      <c r="A93" s="13" t="s">
        <v>532</v>
      </c>
      <c r="B93" s="13" t="s">
        <v>468</v>
      </c>
      <c r="C93" s="13">
        <v>4</v>
      </c>
      <c r="D93" s="13">
        <v>4</v>
      </c>
      <c r="E93" s="14">
        <v>243.4794</v>
      </c>
      <c r="F93" s="15">
        <f t="shared" si="8"/>
        <v>973.91759999999999</v>
      </c>
      <c r="G93" s="13" t="s">
        <v>533</v>
      </c>
      <c r="H93" s="13" t="s">
        <v>9</v>
      </c>
      <c r="I93" s="14">
        <v>0</v>
      </c>
      <c r="J93" s="16">
        <f t="shared" si="10"/>
        <v>0</v>
      </c>
      <c r="K93" s="14" t="e">
        <f t="shared" si="9"/>
        <v>#DIV/0!</v>
      </c>
      <c r="L93" s="13"/>
      <c r="M93" s="13"/>
      <c r="N93" s="13"/>
    </row>
    <row r="94" spans="1:14" x14ac:dyDescent="0.3">
      <c r="A94" s="9" t="s">
        <v>664</v>
      </c>
      <c r="B94" s="9" t="s">
        <v>640</v>
      </c>
      <c r="C94" s="9">
        <v>5</v>
      </c>
      <c r="D94" s="9">
        <v>5</v>
      </c>
      <c r="E94" s="10">
        <v>172.41399999999999</v>
      </c>
      <c r="F94" s="11">
        <f t="shared" si="8"/>
        <v>862.06999999999994</v>
      </c>
      <c r="G94" s="9" t="s">
        <v>665</v>
      </c>
      <c r="H94" s="9" t="s">
        <v>9</v>
      </c>
      <c r="I94" s="10">
        <v>1</v>
      </c>
      <c r="J94" s="12">
        <f t="shared" si="10"/>
        <v>8.3333333333333329E-2</v>
      </c>
      <c r="K94" s="10">
        <f t="shared" si="9"/>
        <v>60</v>
      </c>
      <c r="L94" s="9"/>
      <c r="M94" s="17">
        <v>46036</v>
      </c>
      <c r="N94" s="9" t="s">
        <v>686</v>
      </c>
    </row>
    <row r="95" spans="1:14" x14ac:dyDescent="0.3">
      <c r="A95" s="13" t="s">
        <v>417</v>
      </c>
      <c r="B95" s="13" t="s">
        <v>415</v>
      </c>
      <c r="C95" s="13">
        <v>1</v>
      </c>
      <c r="D95" s="13">
        <v>1</v>
      </c>
      <c r="E95" s="14">
        <v>842.4</v>
      </c>
      <c r="F95" s="15">
        <f t="shared" si="8"/>
        <v>842.4</v>
      </c>
      <c r="G95" s="13" t="s">
        <v>418</v>
      </c>
      <c r="H95" s="13" t="s">
        <v>9</v>
      </c>
      <c r="I95" s="14">
        <v>0</v>
      </c>
      <c r="J95" s="16">
        <f t="shared" si="10"/>
        <v>0</v>
      </c>
      <c r="K95" s="14" t="e">
        <f t="shared" si="9"/>
        <v>#DIV/0!</v>
      </c>
      <c r="L95" s="13"/>
      <c r="M95" s="13"/>
      <c r="N95" s="13"/>
    </row>
    <row r="96" spans="1:14" x14ac:dyDescent="0.3">
      <c r="A96" s="13" t="s">
        <v>85</v>
      </c>
      <c r="B96" s="13" t="s">
        <v>7</v>
      </c>
      <c r="C96" s="13">
        <v>1</v>
      </c>
      <c r="D96" s="13">
        <v>1</v>
      </c>
      <c r="E96" s="14">
        <v>781.2</v>
      </c>
      <c r="F96" s="15">
        <f t="shared" si="8"/>
        <v>781.2</v>
      </c>
      <c r="G96" s="13" t="s">
        <v>86</v>
      </c>
      <c r="H96" s="13" t="s">
        <v>9</v>
      </c>
      <c r="I96" s="14">
        <v>0</v>
      </c>
      <c r="J96" s="16">
        <f t="shared" si="10"/>
        <v>0</v>
      </c>
      <c r="K96" s="14" t="e">
        <f t="shared" si="9"/>
        <v>#DIV/0!</v>
      </c>
      <c r="L96" s="13"/>
      <c r="M96" s="13"/>
      <c r="N96" s="13"/>
    </row>
    <row r="97" spans="1:14" x14ac:dyDescent="0.3">
      <c r="A97" s="9" t="s">
        <v>42</v>
      </c>
      <c r="B97" s="9" t="s">
        <v>7</v>
      </c>
      <c r="C97" s="9">
        <v>1</v>
      </c>
      <c r="D97" s="9">
        <v>1</v>
      </c>
      <c r="E97" s="10">
        <v>753.50930000000005</v>
      </c>
      <c r="F97" s="11">
        <f t="shared" si="8"/>
        <v>753.50930000000005</v>
      </c>
      <c r="G97" s="9" t="s">
        <v>43</v>
      </c>
      <c r="H97" s="9" t="s">
        <v>9</v>
      </c>
      <c r="I97" s="10">
        <v>1</v>
      </c>
      <c r="J97" s="12">
        <f t="shared" si="10"/>
        <v>8.3333333333333329E-2</v>
      </c>
      <c r="K97" s="10">
        <f t="shared" si="9"/>
        <v>12</v>
      </c>
      <c r="L97" s="9"/>
      <c r="M97" s="9"/>
      <c r="N97" s="9"/>
    </row>
    <row r="98" spans="1:14" x14ac:dyDescent="0.3">
      <c r="A98" s="13" t="s">
        <v>180</v>
      </c>
      <c r="B98" s="13" t="s">
        <v>176</v>
      </c>
      <c r="C98" s="13">
        <v>13</v>
      </c>
      <c r="D98" s="13">
        <v>13</v>
      </c>
      <c r="E98" s="14">
        <v>57.758600000000001</v>
      </c>
      <c r="F98" s="15">
        <f t="shared" ref="F98:F115" si="11">+D98*E98</f>
        <v>750.86180000000002</v>
      </c>
      <c r="G98" s="13" t="s">
        <v>181</v>
      </c>
      <c r="H98" s="13" t="s">
        <v>9</v>
      </c>
      <c r="I98" s="14">
        <v>0</v>
      </c>
      <c r="J98" s="16">
        <f t="shared" si="10"/>
        <v>0</v>
      </c>
      <c r="K98" s="14" t="e">
        <f t="shared" ref="K98:K115" si="12">+C98/J98</f>
        <v>#DIV/0!</v>
      </c>
      <c r="L98" s="13"/>
      <c r="M98" s="13"/>
      <c r="N98" s="13"/>
    </row>
    <row r="99" spans="1:14" x14ac:dyDescent="0.3">
      <c r="A99" s="9" t="s">
        <v>353</v>
      </c>
      <c r="B99" s="9" t="s">
        <v>347</v>
      </c>
      <c r="C99" s="9">
        <v>1</v>
      </c>
      <c r="D99" s="9">
        <v>1</v>
      </c>
      <c r="E99" s="10">
        <v>734.05</v>
      </c>
      <c r="F99" s="11">
        <f t="shared" si="11"/>
        <v>734.05</v>
      </c>
      <c r="G99" s="9" t="s">
        <v>354</v>
      </c>
      <c r="H99" s="9" t="s">
        <v>9</v>
      </c>
      <c r="I99" s="10">
        <v>1</v>
      </c>
      <c r="J99" s="12">
        <f t="shared" si="10"/>
        <v>8.3333333333333329E-2</v>
      </c>
      <c r="K99" s="10">
        <f t="shared" si="12"/>
        <v>12</v>
      </c>
      <c r="L99" s="9"/>
      <c r="M99" s="9"/>
      <c r="N99" s="9"/>
    </row>
    <row r="100" spans="1:14" x14ac:dyDescent="0.3">
      <c r="A100" s="9" t="s">
        <v>406</v>
      </c>
      <c r="B100" s="9" t="s">
        <v>402</v>
      </c>
      <c r="C100" s="9">
        <f>9</f>
        <v>9</v>
      </c>
      <c r="D100" s="9">
        <v>5</v>
      </c>
      <c r="E100" s="10">
        <v>143.10079999999999</v>
      </c>
      <c r="F100" s="11">
        <f t="shared" si="11"/>
        <v>715.50399999999991</v>
      </c>
      <c r="G100" s="9" t="s">
        <v>407</v>
      </c>
      <c r="H100" s="9" t="s">
        <v>9</v>
      </c>
      <c r="I100" s="10">
        <v>9</v>
      </c>
      <c r="J100" s="12">
        <f t="shared" si="10"/>
        <v>0.75</v>
      </c>
      <c r="K100" s="10">
        <f t="shared" si="12"/>
        <v>12</v>
      </c>
      <c r="L100" s="9"/>
      <c r="M100" s="9"/>
      <c r="N100" s="9"/>
    </row>
    <row r="101" spans="1:14" x14ac:dyDescent="0.3">
      <c r="A101" s="9" t="s">
        <v>99</v>
      </c>
      <c r="B101" s="9" t="s">
        <v>7</v>
      </c>
      <c r="C101" s="9">
        <v>1</v>
      </c>
      <c r="D101" s="9">
        <v>1</v>
      </c>
      <c r="E101" s="10">
        <v>710.89269999999999</v>
      </c>
      <c r="F101" s="11">
        <f t="shared" si="11"/>
        <v>710.89269999999999</v>
      </c>
      <c r="G101" s="9" t="s">
        <v>100</v>
      </c>
      <c r="H101" s="9" t="s">
        <v>9</v>
      </c>
      <c r="I101" s="10">
        <v>1</v>
      </c>
      <c r="J101" s="12">
        <f t="shared" si="10"/>
        <v>8.3333333333333329E-2</v>
      </c>
      <c r="K101" s="10">
        <f t="shared" si="12"/>
        <v>12</v>
      </c>
      <c r="L101" s="9"/>
      <c r="M101" s="9"/>
      <c r="N101" s="9"/>
    </row>
    <row r="102" spans="1:14" x14ac:dyDescent="0.3">
      <c r="A102" s="9" t="s">
        <v>349</v>
      </c>
      <c r="B102" s="9" t="s">
        <v>347</v>
      </c>
      <c r="C102" s="9">
        <v>1</v>
      </c>
      <c r="D102" s="9">
        <v>1</v>
      </c>
      <c r="E102" s="10">
        <v>700.43</v>
      </c>
      <c r="F102" s="11">
        <f t="shared" si="11"/>
        <v>700.43</v>
      </c>
      <c r="G102" s="9" t="s">
        <v>350</v>
      </c>
      <c r="H102" s="9" t="s">
        <v>9</v>
      </c>
      <c r="I102" s="10">
        <v>1</v>
      </c>
      <c r="J102" s="12">
        <f t="shared" si="10"/>
        <v>8.3333333333333329E-2</v>
      </c>
      <c r="K102" s="10">
        <f t="shared" si="12"/>
        <v>12</v>
      </c>
      <c r="L102" s="9"/>
      <c r="M102" s="9"/>
      <c r="N102" s="9"/>
    </row>
    <row r="103" spans="1:14" x14ac:dyDescent="0.3">
      <c r="A103" s="13" t="s">
        <v>611</v>
      </c>
      <c r="B103" s="13" t="s">
        <v>565</v>
      </c>
      <c r="C103" s="13">
        <v>2</v>
      </c>
      <c r="D103" s="13">
        <v>2</v>
      </c>
      <c r="E103" s="14">
        <v>338.76819999999998</v>
      </c>
      <c r="F103" s="15">
        <f t="shared" si="11"/>
        <v>677.53639999999996</v>
      </c>
      <c r="G103" s="13" t="s">
        <v>612</v>
      </c>
      <c r="H103" s="13" t="s">
        <v>9</v>
      </c>
      <c r="I103" s="14">
        <v>0</v>
      </c>
      <c r="J103" s="16">
        <f t="shared" si="10"/>
        <v>0</v>
      </c>
      <c r="K103" s="14" t="e">
        <f t="shared" si="12"/>
        <v>#DIV/0!</v>
      </c>
      <c r="L103" s="13"/>
      <c r="M103" s="13"/>
      <c r="N103" s="13"/>
    </row>
    <row r="104" spans="1:14" x14ac:dyDescent="0.3">
      <c r="A104" s="9" t="s">
        <v>56</v>
      </c>
      <c r="B104" s="9" t="s">
        <v>7</v>
      </c>
      <c r="C104" s="9">
        <f>14</f>
        <v>14</v>
      </c>
      <c r="D104" s="9">
        <v>5</v>
      </c>
      <c r="E104" s="10">
        <v>135.32158654</v>
      </c>
      <c r="F104" s="11">
        <f t="shared" si="11"/>
        <v>676.60793269999999</v>
      </c>
      <c r="G104" s="9" t="s">
        <v>57</v>
      </c>
      <c r="H104" s="9" t="s">
        <v>9</v>
      </c>
      <c r="I104" s="10">
        <v>21</v>
      </c>
      <c r="J104" s="12">
        <f t="shared" si="10"/>
        <v>1.75</v>
      </c>
      <c r="K104" s="10">
        <f t="shared" si="12"/>
        <v>8</v>
      </c>
      <c r="L104" s="9"/>
      <c r="M104" s="9"/>
      <c r="N104" s="9"/>
    </row>
    <row r="105" spans="1:14" x14ac:dyDescent="0.3">
      <c r="A105" s="13" t="s">
        <v>40</v>
      </c>
      <c r="B105" s="13" t="s">
        <v>7</v>
      </c>
      <c r="C105" s="13">
        <v>1</v>
      </c>
      <c r="D105" s="13">
        <v>1</v>
      </c>
      <c r="E105" s="14">
        <v>639.66240000000005</v>
      </c>
      <c r="F105" s="15">
        <f t="shared" si="11"/>
        <v>639.66240000000005</v>
      </c>
      <c r="G105" s="13" t="s">
        <v>41</v>
      </c>
      <c r="H105" s="13" t="s">
        <v>9</v>
      </c>
      <c r="I105" s="14">
        <v>0</v>
      </c>
      <c r="J105" s="16">
        <f t="shared" si="10"/>
        <v>0</v>
      </c>
      <c r="K105" s="14" t="e">
        <f t="shared" si="12"/>
        <v>#DIV/0!</v>
      </c>
      <c r="L105" s="13"/>
      <c r="M105" s="13"/>
      <c r="N105" s="13"/>
    </row>
    <row r="106" spans="1:14" x14ac:dyDescent="0.3">
      <c r="A106" s="13" t="s">
        <v>97</v>
      </c>
      <c r="B106" s="13" t="s">
        <v>7</v>
      </c>
      <c r="C106" s="13">
        <v>1</v>
      </c>
      <c r="D106" s="13">
        <v>1</v>
      </c>
      <c r="E106" s="14">
        <v>604.407825</v>
      </c>
      <c r="F106" s="15">
        <f t="shared" si="11"/>
        <v>604.407825</v>
      </c>
      <c r="G106" s="13" t="s">
        <v>98</v>
      </c>
      <c r="H106" s="13" t="s">
        <v>9</v>
      </c>
      <c r="I106" s="14">
        <v>0</v>
      </c>
      <c r="J106" s="16">
        <f t="shared" si="10"/>
        <v>0</v>
      </c>
      <c r="K106" s="14" t="e">
        <f t="shared" si="12"/>
        <v>#DIV/0!</v>
      </c>
      <c r="L106" s="13"/>
      <c r="M106" s="13"/>
      <c r="N106" s="13"/>
    </row>
    <row r="107" spans="1:14" x14ac:dyDescent="0.3">
      <c r="A107" s="13" t="s">
        <v>50</v>
      </c>
      <c r="B107" s="13" t="s">
        <v>7</v>
      </c>
      <c r="C107" s="13">
        <v>1</v>
      </c>
      <c r="D107" s="13">
        <v>1</v>
      </c>
      <c r="E107" s="14">
        <v>569.17219999999998</v>
      </c>
      <c r="F107" s="15">
        <f t="shared" si="11"/>
        <v>569.17219999999998</v>
      </c>
      <c r="G107" s="13" t="s">
        <v>51</v>
      </c>
      <c r="H107" s="13" t="s">
        <v>9</v>
      </c>
      <c r="I107" s="14">
        <v>0</v>
      </c>
      <c r="J107" s="16">
        <f t="shared" si="10"/>
        <v>0</v>
      </c>
      <c r="K107" s="14" t="e">
        <f t="shared" si="12"/>
        <v>#DIV/0!</v>
      </c>
      <c r="L107" s="13"/>
      <c r="M107" s="13"/>
      <c r="N107" s="13"/>
    </row>
    <row r="108" spans="1:14" x14ac:dyDescent="0.3">
      <c r="A108" s="13" t="s">
        <v>433</v>
      </c>
      <c r="B108" s="13" t="s">
        <v>415</v>
      </c>
      <c r="C108" s="13">
        <v>1</v>
      </c>
      <c r="D108" s="13">
        <v>1</v>
      </c>
      <c r="E108" s="14">
        <v>522.00149999999996</v>
      </c>
      <c r="F108" s="15">
        <f t="shared" si="11"/>
        <v>522.00149999999996</v>
      </c>
      <c r="G108" s="13" t="s">
        <v>434</v>
      </c>
      <c r="H108" s="13" t="s">
        <v>9</v>
      </c>
      <c r="I108" s="14">
        <v>0</v>
      </c>
      <c r="J108" s="16">
        <f t="shared" si="10"/>
        <v>0</v>
      </c>
      <c r="K108" s="14" t="e">
        <f t="shared" si="12"/>
        <v>#DIV/0!</v>
      </c>
      <c r="L108" s="13"/>
      <c r="M108" s="13"/>
      <c r="N108" s="13"/>
    </row>
    <row r="109" spans="1:14" x14ac:dyDescent="0.3">
      <c r="A109" s="13" t="s">
        <v>346</v>
      </c>
      <c r="B109" s="13" t="s">
        <v>347</v>
      </c>
      <c r="C109" s="13">
        <v>1</v>
      </c>
      <c r="D109" s="13">
        <v>1</v>
      </c>
      <c r="E109" s="14">
        <v>392.94</v>
      </c>
      <c r="F109" s="15">
        <f t="shared" si="11"/>
        <v>392.94</v>
      </c>
      <c r="G109" s="13" t="s">
        <v>348</v>
      </c>
      <c r="H109" s="13" t="s">
        <v>9</v>
      </c>
      <c r="I109" s="14">
        <v>0</v>
      </c>
      <c r="J109" s="16">
        <f t="shared" si="10"/>
        <v>0</v>
      </c>
      <c r="K109" s="14" t="e">
        <f t="shared" si="12"/>
        <v>#DIV/0!</v>
      </c>
      <c r="L109" s="13"/>
      <c r="M109" s="13"/>
      <c r="N109" s="13"/>
    </row>
    <row r="110" spans="1:14" x14ac:dyDescent="0.3">
      <c r="A110" s="9" t="s">
        <v>609</v>
      </c>
      <c r="B110" s="9" t="s">
        <v>565</v>
      </c>
      <c r="C110" s="9">
        <v>3</v>
      </c>
      <c r="D110" s="9">
        <v>3</v>
      </c>
      <c r="E110" s="10">
        <v>116.3793</v>
      </c>
      <c r="F110" s="11">
        <f t="shared" si="11"/>
        <v>349.1379</v>
      </c>
      <c r="G110" s="9" t="s">
        <v>610</v>
      </c>
      <c r="H110" s="9" t="s">
        <v>9</v>
      </c>
      <c r="I110" s="10">
        <v>4</v>
      </c>
      <c r="J110" s="12">
        <f t="shared" si="10"/>
        <v>0.33333333333333331</v>
      </c>
      <c r="K110" s="10">
        <f t="shared" si="12"/>
        <v>9</v>
      </c>
      <c r="L110" s="9"/>
      <c r="M110" s="9"/>
      <c r="N110" s="9"/>
    </row>
    <row r="111" spans="1:14" x14ac:dyDescent="0.3">
      <c r="A111" s="13" t="s">
        <v>467</v>
      </c>
      <c r="B111" s="13" t="s">
        <v>468</v>
      </c>
      <c r="C111" s="13">
        <v>7</v>
      </c>
      <c r="D111" s="13">
        <v>7</v>
      </c>
      <c r="E111" s="14">
        <v>43.103999999999999</v>
      </c>
      <c r="F111" s="15">
        <f t="shared" si="11"/>
        <v>301.72800000000001</v>
      </c>
      <c r="G111" s="13" t="s">
        <v>469</v>
      </c>
      <c r="H111" s="13" t="s">
        <v>9</v>
      </c>
      <c r="I111" s="14">
        <v>0</v>
      </c>
      <c r="J111" s="16">
        <f t="shared" si="10"/>
        <v>0</v>
      </c>
      <c r="K111" s="14" t="e">
        <f t="shared" si="12"/>
        <v>#DIV/0!</v>
      </c>
      <c r="L111" s="13"/>
      <c r="M111" s="13"/>
      <c r="N111" s="13"/>
    </row>
    <row r="112" spans="1:14" x14ac:dyDescent="0.3">
      <c r="A112" s="13" t="s">
        <v>401</v>
      </c>
      <c r="B112" s="13" t="s">
        <v>402</v>
      </c>
      <c r="C112" s="13">
        <v>5</v>
      </c>
      <c r="D112" s="13">
        <v>5</v>
      </c>
      <c r="E112" s="14">
        <v>57</v>
      </c>
      <c r="F112" s="15">
        <f t="shared" si="11"/>
        <v>285</v>
      </c>
      <c r="G112" s="13" t="s">
        <v>403</v>
      </c>
      <c r="H112" s="13" t="s">
        <v>9</v>
      </c>
      <c r="I112" s="14">
        <v>0</v>
      </c>
      <c r="J112" s="16">
        <f t="shared" si="10"/>
        <v>0</v>
      </c>
      <c r="K112" s="14" t="e">
        <f t="shared" si="12"/>
        <v>#DIV/0!</v>
      </c>
      <c r="L112" s="13"/>
      <c r="M112" s="13"/>
      <c r="N112" s="13"/>
    </row>
    <row r="113" spans="1:14" x14ac:dyDescent="0.3">
      <c r="A113" s="13" t="s">
        <v>326</v>
      </c>
      <c r="B113" s="13" t="s">
        <v>274</v>
      </c>
      <c r="C113" s="13">
        <v>21</v>
      </c>
      <c r="D113" s="13">
        <v>21</v>
      </c>
      <c r="E113" s="14">
        <v>13.38</v>
      </c>
      <c r="F113" s="15">
        <f t="shared" si="11"/>
        <v>280.98</v>
      </c>
      <c r="G113" s="13" t="s">
        <v>327</v>
      </c>
      <c r="H113" s="13" t="s">
        <v>9</v>
      </c>
      <c r="I113" s="14">
        <v>0</v>
      </c>
      <c r="J113" s="16">
        <f t="shared" si="10"/>
        <v>0</v>
      </c>
      <c r="K113" s="14" t="e">
        <f t="shared" si="12"/>
        <v>#DIV/0!</v>
      </c>
      <c r="L113" s="13"/>
      <c r="M113" s="13"/>
      <c r="N113" s="13"/>
    </row>
    <row r="114" spans="1:14" x14ac:dyDescent="0.3">
      <c r="A114" s="9" t="s">
        <v>344</v>
      </c>
      <c r="B114" s="9" t="s">
        <v>274</v>
      </c>
      <c r="C114" s="9">
        <v>45</v>
      </c>
      <c r="D114" s="9">
        <v>45</v>
      </c>
      <c r="E114" s="10">
        <v>4.8499999999999996</v>
      </c>
      <c r="F114" s="11">
        <f t="shared" si="11"/>
        <v>218.24999999999997</v>
      </c>
      <c r="G114" s="9" t="s">
        <v>345</v>
      </c>
      <c r="H114" s="9" t="s">
        <v>9</v>
      </c>
      <c r="I114" s="10">
        <v>10</v>
      </c>
      <c r="J114" s="12">
        <f t="shared" si="10"/>
        <v>0.83333333333333337</v>
      </c>
      <c r="K114" s="10">
        <f t="shared" si="12"/>
        <v>54</v>
      </c>
      <c r="L114" s="9"/>
      <c r="M114" s="9"/>
      <c r="N114" s="9"/>
    </row>
    <row r="115" spans="1:14" x14ac:dyDescent="0.3">
      <c r="A115" s="13" t="s">
        <v>54</v>
      </c>
      <c r="B115" s="13" t="s">
        <v>7</v>
      </c>
      <c r="C115" s="13">
        <v>1</v>
      </c>
      <c r="D115" s="13">
        <v>1</v>
      </c>
      <c r="E115" s="14">
        <v>126.54507900999999</v>
      </c>
      <c r="F115" s="15">
        <f t="shared" si="11"/>
        <v>126.54507900999999</v>
      </c>
      <c r="G115" s="13" t="s">
        <v>55</v>
      </c>
      <c r="H115" s="13" t="s">
        <v>9</v>
      </c>
      <c r="I115" s="14">
        <v>0</v>
      </c>
      <c r="J115" s="16">
        <f t="shared" si="10"/>
        <v>0</v>
      </c>
      <c r="K115" s="14" t="e">
        <f t="shared" si="12"/>
        <v>#DIV/0!</v>
      </c>
      <c r="L115" s="13"/>
      <c r="M115" s="13"/>
      <c r="N115" s="13"/>
    </row>
    <row r="116" spans="1:14" x14ac:dyDescent="0.3">
      <c r="E116" s="4"/>
      <c r="F116" s="19">
        <f>SUM(F2:F115)</f>
        <v>5021571.6537998412</v>
      </c>
    </row>
    <row r="117" spans="1:14" x14ac:dyDescent="0.3">
      <c r="E117" s="4"/>
    </row>
    <row r="118" spans="1:14" x14ac:dyDescent="0.3">
      <c r="E118" s="10"/>
      <c r="F118" s="3">
        <v>4518353</v>
      </c>
      <c r="G118" s="22" t="s">
        <v>239</v>
      </c>
      <c r="H118" s="3">
        <f t="shared" ref="H118:H127" si="13">SUMIF($B$2:$B$114,G118,($F$2:$F$114))</f>
        <v>2132936.3262932301</v>
      </c>
    </row>
    <row r="119" spans="1:14" x14ac:dyDescent="0.3">
      <c r="E119" s="13"/>
      <c r="F119" s="3">
        <v>503218</v>
      </c>
      <c r="G119" t="s">
        <v>565</v>
      </c>
      <c r="H119" s="3">
        <f t="shared" si="13"/>
        <v>975529.14345145982</v>
      </c>
    </row>
    <row r="120" spans="1:14" x14ac:dyDescent="0.3">
      <c r="G120" t="s">
        <v>183</v>
      </c>
      <c r="H120" s="3">
        <f t="shared" si="13"/>
        <v>482274.13615001994</v>
      </c>
    </row>
    <row r="121" spans="1:14" x14ac:dyDescent="0.3">
      <c r="G121" t="s">
        <v>7</v>
      </c>
      <c r="H121" s="3">
        <f t="shared" si="13"/>
        <v>426103.19679118</v>
      </c>
    </row>
    <row r="122" spans="1:14" x14ac:dyDescent="0.3">
      <c r="G122" t="s">
        <v>468</v>
      </c>
      <c r="H122" s="3">
        <f t="shared" si="13"/>
        <v>294851.25462785002</v>
      </c>
    </row>
    <row r="123" spans="1:14" x14ac:dyDescent="0.3">
      <c r="G123" s="22" t="s">
        <v>368</v>
      </c>
      <c r="H123" s="3">
        <f t="shared" si="13"/>
        <v>279848.05171371996</v>
      </c>
    </row>
    <row r="124" spans="1:14" x14ac:dyDescent="0.3">
      <c r="G124" t="s">
        <v>274</v>
      </c>
      <c r="H124" s="3">
        <f t="shared" si="13"/>
        <v>210081.98177464001</v>
      </c>
    </row>
    <row r="125" spans="1:14" x14ac:dyDescent="0.3">
      <c r="G125" s="22" t="s">
        <v>160</v>
      </c>
      <c r="H125" s="3">
        <f t="shared" si="13"/>
        <v>72547.322692400005</v>
      </c>
    </row>
    <row r="126" spans="1:14" x14ac:dyDescent="0.3">
      <c r="G126" t="s">
        <v>415</v>
      </c>
      <c r="H126" s="3">
        <f t="shared" si="13"/>
        <v>71516.156803569989</v>
      </c>
    </row>
    <row r="127" spans="1:14" x14ac:dyDescent="0.3">
      <c r="G127" s="22" t="s">
        <v>165</v>
      </c>
      <c r="H127" s="3">
        <f t="shared" si="13"/>
        <v>14179.5376</v>
      </c>
    </row>
    <row r="128" spans="1:14" x14ac:dyDescent="0.3">
      <c r="H128" s="19">
        <f>SUM(H118:H127)</f>
        <v>4959867.1078980705</v>
      </c>
    </row>
    <row r="129" spans="8:8" x14ac:dyDescent="0.3">
      <c r="H129" s="24">
        <f>+H128/F116</f>
        <v>0.98771210486360805</v>
      </c>
    </row>
  </sheetData>
  <autoFilter ref="A1:N116" xr:uid="{D69EBCA1-5049-4575-A214-3FE8D48E0672}">
    <sortState xmlns:xlrd2="http://schemas.microsoft.com/office/spreadsheetml/2017/richdata2" ref="A2:N115">
      <sortCondition descending="1" ref="F1:F11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7EB5-B17A-487F-8E66-01F05D878096}">
  <sheetPr filterMode="1"/>
  <dimension ref="A1:T381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132" sqref="C132"/>
    </sheetView>
  </sheetViews>
  <sheetFormatPr baseColWidth="10" defaultRowHeight="14.4" x14ac:dyDescent="0.3"/>
  <cols>
    <col min="1" max="1" width="22" bestFit="1" customWidth="1"/>
    <col min="2" max="2" width="12.88671875" customWidth="1"/>
    <col min="3" max="3" width="8.88671875" customWidth="1"/>
    <col min="4" max="4" width="11.5546875" customWidth="1"/>
    <col min="5" max="5" width="13.109375" customWidth="1"/>
    <col min="6" max="6" width="44.33203125" bestFit="1" customWidth="1"/>
    <col min="8" max="8" width="12.77734375" customWidth="1"/>
    <col min="12" max="12" width="12.33203125" customWidth="1"/>
  </cols>
  <sheetData>
    <row r="1" spans="1:13" ht="40.200000000000003" x14ac:dyDescent="0.3">
      <c r="A1" t="s">
        <v>0</v>
      </c>
      <c r="B1" t="s">
        <v>1</v>
      </c>
      <c r="C1" t="s">
        <v>2</v>
      </c>
      <c r="D1" t="s">
        <v>3</v>
      </c>
      <c r="E1" t="s">
        <v>666</v>
      </c>
      <c r="F1" t="s">
        <v>4</v>
      </c>
      <c r="G1" t="s">
        <v>5</v>
      </c>
      <c r="H1" s="1" t="s">
        <v>689</v>
      </c>
      <c r="I1" s="1" t="s">
        <v>667</v>
      </c>
      <c r="J1" s="1" t="s">
        <v>668</v>
      </c>
      <c r="K1" s="2" t="s">
        <v>669</v>
      </c>
      <c r="L1" s="1" t="s">
        <v>670</v>
      </c>
      <c r="M1" s="1" t="s">
        <v>671</v>
      </c>
    </row>
    <row r="2" spans="1:13" hidden="1" x14ac:dyDescent="0.3">
      <c r="A2" s="5" t="s">
        <v>6</v>
      </c>
      <c r="B2" s="5" t="s">
        <v>7</v>
      </c>
      <c r="C2" s="5">
        <v>1</v>
      </c>
      <c r="D2" s="6">
        <v>1046.37465</v>
      </c>
      <c r="E2" s="7">
        <f>+C2*D2</f>
        <v>1046.37465</v>
      </c>
      <c r="F2" s="5" t="s">
        <v>8</v>
      </c>
      <c r="G2" s="5" t="s">
        <v>9</v>
      </c>
      <c r="H2" s="6">
        <v>8</v>
      </c>
      <c r="I2" s="8">
        <f>+H2/4</f>
        <v>2</v>
      </c>
      <c r="J2" s="6">
        <f>+C2/I2</f>
        <v>0.5</v>
      </c>
      <c r="K2" s="5"/>
      <c r="L2" s="5"/>
      <c r="M2" s="5" t="s">
        <v>673</v>
      </c>
    </row>
    <row r="3" spans="1:13" hidden="1" x14ac:dyDescent="0.3">
      <c r="A3" s="5" t="s">
        <v>10</v>
      </c>
      <c r="B3" s="5" t="s">
        <v>7</v>
      </c>
      <c r="C3" s="5">
        <v>6</v>
      </c>
      <c r="D3" s="6">
        <v>1071.2618</v>
      </c>
      <c r="E3" s="7">
        <f t="shared" ref="E3:E78" si="0">+C3*D3</f>
        <v>6427.5707999999995</v>
      </c>
      <c r="F3" s="5" t="s">
        <v>11</v>
      </c>
      <c r="G3" s="5" t="s">
        <v>9</v>
      </c>
      <c r="H3" s="6">
        <v>0</v>
      </c>
      <c r="I3" s="8">
        <f>+H3/4</f>
        <v>0</v>
      </c>
      <c r="J3" s="6" t="e">
        <f t="shared" ref="J3:J78" si="1">+C3/I3</f>
        <v>#DIV/0!</v>
      </c>
      <c r="K3" s="5"/>
      <c r="L3" s="5"/>
      <c r="M3" s="5" t="s">
        <v>673</v>
      </c>
    </row>
    <row r="4" spans="1:13" hidden="1" x14ac:dyDescent="0.3">
      <c r="A4" s="5" t="s">
        <v>12</v>
      </c>
      <c r="B4" s="5" t="s">
        <v>7</v>
      </c>
      <c r="C4" s="5">
        <v>6</v>
      </c>
      <c r="D4" s="6">
        <v>1291.9461240000001</v>
      </c>
      <c r="E4" s="7">
        <f t="shared" si="0"/>
        <v>7751.6767440000003</v>
      </c>
      <c r="F4" s="5" t="s">
        <v>13</v>
      </c>
      <c r="G4" s="5" t="s">
        <v>9</v>
      </c>
      <c r="H4" s="6">
        <v>3</v>
      </c>
      <c r="I4" s="8">
        <f>+H4/4</f>
        <v>0.75</v>
      </c>
      <c r="J4" s="6">
        <f t="shared" si="1"/>
        <v>8</v>
      </c>
      <c r="K4" s="5"/>
      <c r="L4" s="5"/>
      <c r="M4" s="5" t="s">
        <v>673</v>
      </c>
    </row>
    <row r="5" spans="1:13" hidden="1" x14ac:dyDescent="0.3">
      <c r="A5" s="5" t="s">
        <v>14</v>
      </c>
      <c r="B5" s="5" t="s">
        <v>7</v>
      </c>
      <c r="C5" s="5">
        <v>3</v>
      </c>
      <c r="D5" s="6">
        <v>1835.618596</v>
      </c>
      <c r="E5" s="7">
        <f t="shared" si="0"/>
        <v>5506.8557879999998</v>
      </c>
      <c r="F5" s="5" t="s">
        <v>15</v>
      </c>
      <c r="G5" s="5" t="s">
        <v>9</v>
      </c>
      <c r="H5" s="6">
        <v>0</v>
      </c>
      <c r="I5" s="8">
        <f>+H5/4</f>
        <v>0</v>
      </c>
      <c r="J5" s="6" t="e">
        <f t="shared" si="1"/>
        <v>#DIV/0!</v>
      </c>
      <c r="K5" s="5"/>
      <c r="L5" s="5"/>
      <c r="M5" s="5" t="s">
        <v>673</v>
      </c>
    </row>
    <row r="6" spans="1:13" hidden="1" x14ac:dyDescent="0.3">
      <c r="A6" s="5" t="s">
        <v>16</v>
      </c>
      <c r="B6" s="5" t="s">
        <v>7</v>
      </c>
      <c r="C6" s="5">
        <v>5</v>
      </c>
      <c r="D6" s="6">
        <v>2355.4022222200001</v>
      </c>
      <c r="E6" s="7">
        <f t="shared" si="0"/>
        <v>11777.011111100001</v>
      </c>
      <c r="F6" s="5" t="s">
        <v>17</v>
      </c>
      <c r="G6" s="5" t="s">
        <v>9</v>
      </c>
      <c r="H6" s="6">
        <v>5</v>
      </c>
      <c r="I6" s="8">
        <f t="shared" ref="I6:I14" si="2">+H6/6</f>
        <v>0.83333333333333337</v>
      </c>
      <c r="J6" s="6">
        <f t="shared" si="1"/>
        <v>6</v>
      </c>
      <c r="K6" s="5"/>
      <c r="L6" s="5"/>
      <c r="M6" s="5"/>
    </row>
    <row r="7" spans="1:13" hidden="1" x14ac:dyDescent="0.3">
      <c r="A7" s="9" t="s">
        <v>16</v>
      </c>
      <c r="B7" s="9" t="s">
        <v>7</v>
      </c>
      <c r="C7" s="9">
        <f>5+5-5</f>
        <v>5</v>
      </c>
      <c r="D7" s="10">
        <v>2355.4022222200001</v>
      </c>
      <c r="E7" s="11">
        <f t="shared" si="0"/>
        <v>11777.011111100001</v>
      </c>
      <c r="F7" s="9" t="s">
        <v>17</v>
      </c>
      <c r="G7" s="9" t="s">
        <v>9</v>
      </c>
      <c r="H7" s="10">
        <v>5</v>
      </c>
      <c r="I7" s="12">
        <f t="shared" si="2"/>
        <v>0.83333333333333337</v>
      </c>
      <c r="J7" s="10">
        <f t="shared" si="1"/>
        <v>6</v>
      </c>
      <c r="K7" s="9"/>
      <c r="L7" s="9"/>
      <c r="M7" s="9"/>
    </row>
    <row r="8" spans="1:13" hidden="1" x14ac:dyDescent="0.3">
      <c r="A8" s="9" t="s">
        <v>18</v>
      </c>
      <c r="B8" s="9" t="s">
        <v>7</v>
      </c>
      <c r="C8" s="9">
        <v>115</v>
      </c>
      <c r="D8" s="10">
        <v>617.62421789999996</v>
      </c>
      <c r="E8" s="11">
        <f t="shared" si="0"/>
        <v>71026.785058499998</v>
      </c>
      <c r="F8" s="9" t="s">
        <v>19</v>
      </c>
      <c r="G8" s="9" t="s">
        <v>9</v>
      </c>
      <c r="H8" s="10">
        <v>5</v>
      </c>
      <c r="I8" s="12">
        <f t="shared" si="2"/>
        <v>0.83333333333333337</v>
      </c>
      <c r="J8" s="10">
        <f t="shared" si="1"/>
        <v>138</v>
      </c>
      <c r="K8" s="9"/>
      <c r="L8" s="9"/>
      <c r="M8" s="9"/>
    </row>
    <row r="9" spans="1:13" hidden="1" x14ac:dyDescent="0.3">
      <c r="A9" s="5" t="s">
        <v>20</v>
      </c>
      <c r="B9" s="5" t="s">
        <v>7</v>
      </c>
      <c r="C9" s="5">
        <f>18*5</f>
        <v>90</v>
      </c>
      <c r="D9" s="6">
        <v>712.69832191</v>
      </c>
      <c r="E9" s="7">
        <f t="shared" si="0"/>
        <v>64142.848971899999</v>
      </c>
      <c r="F9" s="5" t="s">
        <v>21</v>
      </c>
      <c r="G9" s="5" t="s">
        <v>9</v>
      </c>
      <c r="H9" s="6">
        <v>102</v>
      </c>
      <c r="I9" s="8">
        <f t="shared" si="2"/>
        <v>17</v>
      </c>
      <c r="J9" s="6">
        <f t="shared" si="1"/>
        <v>5.2941176470588234</v>
      </c>
      <c r="K9" s="5"/>
      <c r="L9" s="5"/>
      <c r="M9" s="5"/>
    </row>
    <row r="10" spans="1:13" hidden="1" x14ac:dyDescent="0.3">
      <c r="A10" s="9" t="s">
        <v>20</v>
      </c>
      <c r="B10" s="9" t="s">
        <v>7</v>
      </c>
      <c r="C10" s="9">
        <f>227+50-90</f>
        <v>187</v>
      </c>
      <c r="D10" s="10">
        <v>712.69832191</v>
      </c>
      <c r="E10" s="11">
        <f t="shared" si="0"/>
        <v>133274.58619716999</v>
      </c>
      <c r="F10" s="9" t="s">
        <v>21</v>
      </c>
      <c r="G10" s="9" t="s">
        <v>9</v>
      </c>
      <c r="H10" s="10">
        <v>102</v>
      </c>
      <c r="I10" s="12">
        <f t="shared" si="2"/>
        <v>17</v>
      </c>
      <c r="J10" s="10">
        <f t="shared" si="1"/>
        <v>11</v>
      </c>
      <c r="K10" s="9"/>
      <c r="L10" s="9"/>
      <c r="M10" s="9"/>
    </row>
    <row r="11" spans="1:13" hidden="1" x14ac:dyDescent="0.3">
      <c r="A11" s="5" t="s">
        <v>22</v>
      </c>
      <c r="B11" s="5" t="s">
        <v>7</v>
      </c>
      <c r="C11" s="5">
        <v>1</v>
      </c>
      <c r="D11" s="6">
        <v>2394.5300000000002</v>
      </c>
      <c r="E11" s="7">
        <f t="shared" si="0"/>
        <v>2394.5300000000002</v>
      </c>
      <c r="F11" s="5" t="s">
        <v>23</v>
      </c>
      <c r="G11" s="5" t="s">
        <v>9</v>
      </c>
      <c r="H11" s="6">
        <v>0</v>
      </c>
      <c r="I11" s="8">
        <f t="shared" si="2"/>
        <v>0</v>
      </c>
      <c r="J11" s="6" t="e">
        <f t="shared" si="1"/>
        <v>#DIV/0!</v>
      </c>
      <c r="K11" s="5"/>
      <c r="L11" s="5"/>
      <c r="M11" s="5" t="s">
        <v>674</v>
      </c>
    </row>
    <row r="12" spans="1:13" hidden="1" x14ac:dyDescent="0.3">
      <c r="A12" s="5" t="s">
        <v>24</v>
      </c>
      <c r="B12" s="5" t="s">
        <v>7</v>
      </c>
      <c r="C12" s="5">
        <v>3</v>
      </c>
      <c r="D12" s="6">
        <v>7180.4240400600002</v>
      </c>
      <c r="E12" s="7">
        <f t="shared" si="0"/>
        <v>21541.272120180001</v>
      </c>
      <c r="F12" s="5" t="s">
        <v>25</v>
      </c>
      <c r="G12" s="5" t="s">
        <v>9</v>
      </c>
      <c r="H12" s="6">
        <v>8</v>
      </c>
      <c r="I12" s="8">
        <f t="shared" si="2"/>
        <v>1.3333333333333333</v>
      </c>
      <c r="J12" s="6">
        <f t="shared" si="1"/>
        <v>2.25</v>
      </c>
      <c r="K12" s="5"/>
      <c r="L12" s="5"/>
      <c r="M12" s="5"/>
    </row>
    <row r="13" spans="1:13" hidden="1" x14ac:dyDescent="0.3">
      <c r="A13" s="5" t="s">
        <v>26</v>
      </c>
      <c r="B13" s="5" t="s">
        <v>7</v>
      </c>
      <c r="C13" s="5">
        <v>17</v>
      </c>
      <c r="D13" s="6">
        <v>4664.9791290200001</v>
      </c>
      <c r="E13" s="7">
        <f t="shared" si="0"/>
        <v>79304.645193339995</v>
      </c>
      <c r="F13" s="5" t="s">
        <v>27</v>
      </c>
      <c r="G13" s="5" t="s">
        <v>9</v>
      </c>
      <c r="H13" s="6">
        <v>19</v>
      </c>
      <c r="I13" s="8">
        <f t="shared" si="2"/>
        <v>3.1666666666666665</v>
      </c>
      <c r="J13" s="6">
        <f t="shared" si="1"/>
        <v>5.3684210526315788</v>
      </c>
      <c r="K13" s="5"/>
      <c r="L13" s="5"/>
      <c r="M13" s="5"/>
    </row>
    <row r="14" spans="1:13" hidden="1" x14ac:dyDescent="0.3">
      <c r="A14" s="9" t="s">
        <v>26</v>
      </c>
      <c r="B14" s="9" t="s">
        <v>7</v>
      </c>
      <c r="C14" s="9">
        <f>18+15-17</f>
        <v>16</v>
      </c>
      <c r="D14" s="10">
        <v>4664.9791290200001</v>
      </c>
      <c r="E14" s="11">
        <f t="shared" si="0"/>
        <v>74639.666064320001</v>
      </c>
      <c r="F14" s="9" t="s">
        <v>27</v>
      </c>
      <c r="G14" s="9" t="s">
        <v>9</v>
      </c>
      <c r="H14" s="10">
        <v>19</v>
      </c>
      <c r="I14" s="12">
        <f t="shared" si="2"/>
        <v>3.1666666666666665</v>
      </c>
      <c r="J14" s="10">
        <f t="shared" si="1"/>
        <v>5.052631578947369</v>
      </c>
      <c r="K14" s="9"/>
      <c r="L14" s="9"/>
      <c r="M14" s="9"/>
    </row>
    <row r="15" spans="1:13" hidden="1" x14ac:dyDescent="0.3">
      <c r="A15" s="5" t="s">
        <v>28</v>
      </c>
      <c r="B15" s="5" t="s">
        <v>7</v>
      </c>
      <c r="C15" s="5">
        <v>2</v>
      </c>
      <c r="D15" s="6">
        <v>15123.543799999999</v>
      </c>
      <c r="E15" s="7">
        <f t="shared" si="0"/>
        <v>30247.087599999999</v>
      </c>
      <c r="F15" s="5" t="s">
        <v>29</v>
      </c>
      <c r="G15" s="5" t="s">
        <v>9</v>
      </c>
      <c r="H15" s="6">
        <v>7</v>
      </c>
      <c r="I15" s="8">
        <f>+H15/0.1</f>
        <v>70</v>
      </c>
      <c r="J15" s="6">
        <f t="shared" si="1"/>
        <v>2.8571428571428571E-2</v>
      </c>
      <c r="K15" s="5"/>
      <c r="L15" s="5"/>
      <c r="M15" s="5"/>
    </row>
    <row r="16" spans="1:13" hidden="1" x14ac:dyDescent="0.3">
      <c r="A16" s="5" t="s">
        <v>30</v>
      </c>
      <c r="B16" s="5" t="s">
        <v>7</v>
      </c>
      <c r="C16" s="5">
        <v>1</v>
      </c>
      <c r="D16" s="6">
        <v>521.37649999999996</v>
      </c>
      <c r="E16" s="7">
        <f t="shared" si="0"/>
        <v>521.37649999999996</v>
      </c>
      <c r="F16" s="5" t="s">
        <v>31</v>
      </c>
      <c r="G16" s="5" t="s">
        <v>9</v>
      </c>
      <c r="H16" s="6">
        <v>0</v>
      </c>
      <c r="I16" s="8">
        <f>+H16/6</f>
        <v>0</v>
      </c>
      <c r="J16" s="6" t="e">
        <f t="shared" si="1"/>
        <v>#DIV/0!</v>
      </c>
      <c r="K16" s="5"/>
      <c r="L16" s="5"/>
      <c r="M16" s="5" t="s">
        <v>673</v>
      </c>
    </row>
    <row r="17" spans="1:13" hidden="1" x14ac:dyDescent="0.3">
      <c r="A17" s="5" t="s">
        <v>32</v>
      </c>
      <c r="B17" s="5" t="s">
        <v>7</v>
      </c>
      <c r="C17" s="5">
        <v>1</v>
      </c>
      <c r="D17" s="6">
        <v>84366</v>
      </c>
      <c r="E17" s="7">
        <f t="shared" si="0"/>
        <v>84366</v>
      </c>
      <c r="F17" s="5" t="s">
        <v>33</v>
      </c>
      <c r="G17" s="5" t="s">
        <v>9</v>
      </c>
      <c r="H17" s="6">
        <v>0</v>
      </c>
      <c r="I17" s="8">
        <f>+H17/6</f>
        <v>0</v>
      </c>
      <c r="J17" s="6" t="e">
        <f t="shared" si="1"/>
        <v>#DIV/0!</v>
      </c>
      <c r="K17" s="5"/>
      <c r="L17" s="5"/>
      <c r="M17" s="5" t="s">
        <v>675</v>
      </c>
    </row>
    <row r="18" spans="1:13" hidden="1" x14ac:dyDescent="0.3">
      <c r="A18" s="5" t="s">
        <v>34</v>
      </c>
      <c r="B18" s="5" t="s">
        <v>7</v>
      </c>
      <c r="C18" s="5">
        <v>5</v>
      </c>
      <c r="D18" s="6">
        <v>411.59870000000001</v>
      </c>
      <c r="E18" s="7">
        <f t="shared" si="0"/>
        <v>2057.9935</v>
      </c>
      <c r="F18" s="5" t="s">
        <v>35</v>
      </c>
      <c r="G18" s="5" t="s">
        <v>9</v>
      </c>
      <c r="H18" s="6">
        <v>0</v>
      </c>
      <c r="I18" s="8">
        <f>+H18/6</f>
        <v>0</v>
      </c>
      <c r="J18" s="6" t="e">
        <f t="shared" si="1"/>
        <v>#DIV/0!</v>
      </c>
      <c r="K18" s="5"/>
      <c r="L18" s="5"/>
      <c r="M18" s="5" t="s">
        <v>673</v>
      </c>
    </row>
    <row r="19" spans="1:13" hidden="1" x14ac:dyDescent="0.3">
      <c r="A19" s="5" t="s">
        <v>36</v>
      </c>
      <c r="B19" s="5" t="s">
        <v>7</v>
      </c>
      <c r="C19" s="5">
        <v>5</v>
      </c>
      <c r="D19" s="6">
        <v>506.31209999999999</v>
      </c>
      <c r="E19" s="7">
        <f t="shared" si="0"/>
        <v>2531.5605</v>
      </c>
      <c r="F19" s="5" t="s">
        <v>37</v>
      </c>
      <c r="G19" s="5" t="s">
        <v>9</v>
      </c>
      <c r="H19" s="6">
        <v>0</v>
      </c>
      <c r="I19" s="8">
        <f>+H19/1</f>
        <v>0</v>
      </c>
      <c r="J19" s="6" t="e">
        <f t="shared" si="1"/>
        <v>#DIV/0!</v>
      </c>
      <c r="K19" s="5"/>
      <c r="L19" s="5"/>
      <c r="M19" s="5" t="s">
        <v>673</v>
      </c>
    </row>
    <row r="20" spans="1:13" hidden="1" x14ac:dyDescent="0.3">
      <c r="A20" s="5" t="s">
        <v>38</v>
      </c>
      <c r="B20" s="5" t="s">
        <v>7</v>
      </c>
      <c r="C20" s="5">
        <v>5</v>
      </c>
      <c r="D20" s="6">
        <v>1904.82839199</v>
      </c>
      <c r="E20" s="7">
        <f t="shared" si="0"/>
        <v>9524.1419599500005</v>
      </c>
      <c r="F20" s="5" t="s">
        <v>39</v>
      </c>
      <c r="G20" s="5" t="s">
        <v>9</v>
      </c>
      <c r="H20" s="6">
        <v>6</v>
      </c>
      <c r="I20" s="8">
        <f t="shared" ref="I20:I45" si="3">+H20/6</f>
        <v>1</v>
      </c>
      <c r="J20" s="6">
        <f t="shared" si="1"/>
        <v>5</v>
      </c>
      <c r="K20" s="5"/>
      <c r="L20" s="5"/>
      <c r="M20" s="5"/>
    </row>
    <row r="21" spans="1:13" hidden="1" x14ac:dyDescent="0.3">
      <c r="A21" s="9" t="s">
        <v>38</v>
      </c>
      <c r="B21" s="9" t="s">
        <v>7</v>
      </c>
      <c r="C21" s="9">
        <f>30-5</f>
        <v>25</v>
      </c>
      <c r="D21" s="10">
        <v>1904.82839199</v>
      </c>
      <c r="E21" s="11">
        <f t="shared" si="0"/>
        <v>47620.709799750002</v>
      </c>
      <c r="F21" s="9" t="s">
        <v>39</v>
      </c>
      <c r="G21" s="9" t="s">
        <v>9</v>
      </c>
      <c r="H21" s="10">
        <v>6</v>
      </c>
      <c r="I21" s="12">
        <f t="shared" si="3"/>
        <v>1</v>
      </c>
      <c r="J21" s="10">
        <f t="shared" si="1"/>
        <v>25</v>
      </c>
      <c r="K21" s="9"/>
      <c r="L21" s="9"/>
      <c r="M21" s="9"/>
    </row>
    <row r="22" spans="1:13" hidden="1" x14ac:dyDescent="0.3">
      <c r="A22" s="13" t="s">
        <v>40</v>
      </c>
      <c r="B22" s="13" t="s">
        <v>7</v>
      </c>
      <c r="C22" s="13">
        <v>1</v>
      </c>
      <c r="D22" s="14">
        <v>639.66240000000005</v>
      </c>
      <c r="E22" s="15">
        <f t="shared" si="0"/>
        <v>639.66240000000005</v>
      </c>
      <c r="F22" s="13" t="s">
        <v>41</v>
      </c>
      <c r="G22" s="13" t="s">
        <v>9</v>
      </c>
      <c r="H22" s="14">
        <v>0</v>
      </c>
      <c r="I22" s="16">
        <f t="shared" si="3"/>
        <v>0</v>
      </c>
      <c r="J22" s="14" t="e">
        <f t="shared" si="1"/>
        <v>#DIV/0!</v>
      </c>
      <c r="K22" s="13"/>
      <c r="L22" s="13"/>
      <c r="M22" s="13"/>
    </row>
    <row r="23" spans="1:13" hidden="1" x14ac:dyDescent="0.3">
      <c r="A23" s="13" t="s">
        <v>42</v>
      </c>
      <c r="B23" s="13" t="s">
        <v>7</v>
      </c>
      <c r="C23" s="13">
        <v>1</v>
      </c>
      <c r="D23" s="14">
        <v>753.50930000000005</v>
      </c>
      <c r="E23" s="15">
        <f t="shared" si="0"/>
        <v>753.50930000000005</v>
      </c>
      <c r="F23" s="13" t="s">
        <v>43</v>
      </c>
      <c r="G23" s="13" t="s">
        <v>9</v>
      </c>
      <c r="H23" s="14">
        <v>0</v>
      </c>
      <c r="I23" s="16">
        <f t="shared" si="3"/>
        <v>0</v>
      </c>
      <c r="J23" s="14" t="e">
        <f t="shared" si="1"/>
        <v>#DIV/0!</v>
      </c>
      <c r="K23" s="13"/>
      <c r="L23" s="13"/>
      <c r="M23" s="13"/>
    </row>
    <row r="24" spans="1:13" hidden="1" x14ac:dyDescent="0.3">
      <c r="A24" s="5" t="s">
        <v>44</v>
      </c>
      <c r="B24" s="5" t="s">
        <v>7</v>
      </c>
      <c r="C24" s="5">
        <v>22</v>
      </c>
      <c r="D24" s="6">
        <v>89.065065369999999</v>
      </c>
      <c r="E24" s="7">
        <f t="shared" si="0"/>
        <v>1959.43143814</v>
      </c>
      <c r="F24" s="5" t="s">
        <v>45</v>
      </c>
      <c r="G24" s="5" t="s">
        <v>9</v>
      </c>
      <c r="H24" s="6">
        <v>24</v>
      </c>
      <c r="I24" s="8">
        <f t="shared" si="3"/>
        <v>4</v>
      </c>
      <c r="J24" s="6">
        <f t="shared" si="1"/>
        <v>5.5</v>
      </c>
      <c r="K24" s="5"/>
      <c r="L24" s="5"/>
      <c r="M24" s="5"/>
    </row>
    <row r="25" spans="1:13" hidden="1" x14ac:dyDescent="0.3">
      <c r="A25" s="9" t="s">
        <v>44</v>
      </c>
      <c r="B25" s="9" t="s">
        <v>7</v>
      </c>
      <c r="C25" s="9">
        <f>41-22</f>
        <v>19</v>
      </c>
      <c r="D25" s="10">
        <v>89.065065369999999</v>
      </c>
      <c r="E25" s="11">
        <f t="shared" si="0"/>
        <v>1692.2362420300001</v>
      </c>
      <c r="F25" s="9" t="s">
        <v>45</v>
      </c>
      <c r="G25" s="9" t="s">
        <v>9</v>
      </c>
      <c r="H25" s="10">
        <v>24</v>
      </c>
      <c r="I25" s="12">
        <f t="shared" si="3"/>
        <v>4</v>
      </c>
      <c r="J25" s="10">
        <f t="shared" si="1"/>
        <v>4.75</v>
      </c>
      <c r="K25" s="9"/>
      <c r="L25" s="9"/>
      <c r="M25" s="9"/>
    </row>
    <row r="26" spans="1:13" hidden="1" x14ac:dyDescent="0.3">
      <c r="A26" s="5" t="s">
        <v>46</v>
      </c>
      <c r="B26" s="5" t="s">
        <v>7</v>
      </c>
      <c r="C26" s="5">
        <v>170</v>
      </c>
      <c r="D26" s="6">
        <v>112.22128312</v>
      </c>
      <c r="E26" s="7">
        <f t="shared" si="0"/>
        <v>19077.618130399998</v>
      </c>
      <c r="F26" s="5" t="s">
        <v>47</v>
      </c>
      <c r="G26" s="5" t="s">
        <v>9</v>
      </c>
      <c r="H26" s="6">
        <v>251</v>
      </c>
      <c r="I26" s="8">
        <f t="shared" si="3"/>
        <v>41.833333333333336</v>
      </c>
      <c r="J26" s="6">
        <f t="shared" si="1"/>
        <v>4.0637450199203187</v>
      </c>
      <c r="K26" s="5"/>
      <c r="L26" s="5"/>
      <c r="M26" s="5"/>
    </row>
    <row r="27" spans="1:13" hidden="1" x14ac:dyDescent="0.3">
      <c r="A27" s="13" t="s">
        <v>48</v>
      </c>
      <c r="B27" s="13" t="s">
        <v>7</v>
      </c>
      <c r="C27" s="13">
        <v>6</v>
      </c>
      <c r="D27" s="14">
        <v>512.66669999999999</v>
      </c>
      <c r="E27" s="15">
        <f t="shared" si="0"/>
        <v>3076.0001999999999</v>
      </c>
      <c r="F27" s="13" t="s">
        <v>49</v>
      </c>
      <c r="G27" s="13" t="s">
        <v>9</v>
      </c>
      <c r="H27" s="14">
        <v>0</v>
      </c>
      <c r="I27" s="16">
        <f t="shared" si="3"/>
        <v>0</v>
      </c>
      <c r="J27" s="14" t="e">
        <f t="shared" si="1"/>
        <v>#DIV/0!</v>
      </c>
      <c r="K27" s="13"/>
      <c r="L27" s="13"/>
      <c r="M27" s="13"/>
    </row>
    <row r="28" spans="1:13" hidden="1" x14ac:dyDescent="0.3">
      <c r="A28" s="13" t="s">
        <v>50</v>
      </c>
      <c r="B28" s="13" t="s">
        <v>7</v>
      </c>
      <c r="C28" s="13">
        <v>1</v>
      </c>
      <c r="D28" s="14">
        <v>569.17219999999998</v>
      </c>
      <c r="E28" s="15">
        <f t="shared" si="0"/>
        <v>569.17219999999998</v>
      </c>
      <c r="F28" s="13" t="s">
        <v>51</v>
      </c>
      <c r="G28" s="13" t="s">
        <v>9</v>
      </c>
      <c r="H28" s="14">
        <v>0</v>
      </c>
      <c r="I28" s="16">
        <f t="shared" si="3"/>
        <v>0</v>
      </c>
      <c r="J28" s="14" t="e">
        <f t="shared" si="1"/>
        <v>#DIV/0!</v>
      </c>
      <c r="K28" s="13"/>
      <c r="L28" s="13"/>
      <c r="M28" s="13"/>
    </row>
    <row r="29" spans="1:13" hidden="1" x14ac:dyDescent="0.3">
      <c r="A29" s="5" t="s">
        <v>52</v>
      </c>
      <c r="B29" s="5" t="s">
        <v>7</v>
      </c>
      <c r="C29" s="5">
        <v>2</v>
      </c>
      <c r="D29" s="6">
        <v>137.37570869999999</v>
      </c>
      <c r="E29" s="7">
        <f t="shared" si="0"/>
        <v>274.75141739999998</v>
      </c>
      <c r="F29" s="5" t="s">
        <v>53</v>
      </c>
      <c r="G29" s="5" t="s">
        <v>9</v>
      </c>
      <c r="H29" s="6">
        <v>3</v>
      </c>
      <c r="I29" s="8">
        <f t="shared" si="3"/>
        <v>0.5</v>
      </c>
      <c r="J29" s="6">
        <f t="shared" si="1"/>
        <v>4</v>
      </c>
      <c r="K29" s="5"/>
      <c r="L29" s="5"/>
      <c r="M29" s="5"/>
    </row>
    <row r="30" spans="1:13" hidden="1" x14ac:dyDescent="0.3">
      <c r="A30" s="5" t="s">
        <v>54</v>
      </c>
      <c r="B30" s="5" t="s">
        <v>7</v>
      </c>
      <c r="C30" s="5">
        <v>1</v>
      </c>
      <c r="D30" s="6">
        <v>126.54507900999999</v>
      </c>
      <c r="E30" s="7">
        <f t="shared" si="0"/>
        <v>126.54507900999999</v>
      </c>
      <c r="F30" s="5" t="s">
        <v>55</v>
      </c>
      <c r="G30" s="5" t="s">
        <v>9</v>
      </c>
      <c r="H30" s="6">
        <v>2</v>
      </c>
      <c r="I30" s="8">
        <f t="shared" si="3"/>
        <v>0.33333333333333331</v>
      </c>
      <c r="J30" s="6">
        <f t="shared" si="1"/>
        <v>3</v>
      </c>
      <c r="K30" s="5"/>
      <c r="L30" s="5"/>
      <c r="M30" s="5"/>
    </row>
    <row r="31" spans="1:13" hidden="1" x14ac:dyDescent="0.3">
      <c r="A31" s="5" t="s">
        <v>56</v>
      </c>
      <c r="B31" s="5" t="s">
        <v>7</v>
      </c>
      <c r="C31" s="5">
        <v>5</v>
      </c>
      <c r="D31" s="6">
        <v>135.32158654</v>
      </c>
      <c r="E31" s="7">
        <f t="shared" si="0"/>
        <v>676.60793269999999</v>
      </c>
      <c r="F31" s="5" t="s">
        <v>57</v>
      </c>
      <c r="G31" s="5" t="s">
        <v>9</v>
      </c>
      <c r="H31" s="6">
        <v>6</v>
      </c>
      <c r="I31" s="8">
        <f t="shared" si="3"/>
        <v>1</v>
      </c>
      <c r="J31" s="6">
        <f t="shared" si="1"/>
        <v>5</v>
      </c>
      <c r="K31" s="5"/>
      <c r="L31" s="5"/>
      <c r="M31" s="5"/>
    </row>
    <row r="32" spans="1:13" hidden="1" x14ac:dyDescent="0.3">
      <c r="A32" s="9" t="s">
        <v>56</v>
      </c>
      <c r="B32" s="9" t="s">
        <v>7</v>
      </c>
      <c r="C32" s="9">
        <f>14-5</f>
        <v>9</v>
      </c>
      <c r="D32" s="10">
        <v>135.32158654</v>
      </c>
      <c r="E32" s="11">
        <f t="shared" si="0"/>
        <v>1217.89427886</v>
      </c>
      <c r="F32" s="9" t="s">
        <v>57</v>
      </c>
      <c r="G32" s="9" t="s">
        <v>9</v>
      </c>
      <c r="H32" s="10">
        <v>6</v>
      </c>
      <c r="I32" s="12">
        <f t="shared" si="3"/>
        <v>1</v>
      </c>
      <c r="J32" s="10">
        <f t="shared" si="1"/>
        <v>9</v>
      </c>
      <c r="K32" s="9"/>
      <c r="L32" s="9"/>
      <c r="M32" s="9"/>
    </row>
    <row r="33" spans="1:13" hidden="1" x14ac:dyDescent="0.3">
      <c r="A33" s="9" t="s">
        <v>58</v>
      </c>
      <c r="B33" s="9" t="s">
        <v>7</v>
      </c>
      <c r="C33" s="9">
        <v>27</v>
      </c>
      <c r="D33" s="10">
        <v>141.60169999999999</v>
      </c>
      <c r="E33" s="11">
        <f t="shared" si="0"/>
        <v>3823.2458999999999</v>
      </c>
      <c r="F33" s="9" t="s">
        <v>59</v>
      </c>
      <c r="G33" s="9" t="s">
        <v>9</v>
      </c>
      <c r="H33" s="10">
        <v>3</v>
      </c>
      <c r="I33" s="12">
        <f t="shared" si="3"/>
        <v>0.5</v>
      </c>
      <c r="J33" s="10">
        <f t="shared" si="1"/>
        <v>54</v>
      </c>
      <c r="K33" s="9"/>
      <c r="L33" s="9"/>
      <c r="M33" s="9"/>
    </row>
    <row r="34" spans="1:13" hidden="1" x14ac:dyDescent="0.3">
      <c r="A34" s="5" t="s">
        <v>60</v>
      </c>
      <c r="B34" s="5" t="s">
        <v>7</v>
      </c>
      <c r="C34" s="5">
        <v>1</v>
      </c>
      <c r="D34" s="6">
        <v>182.18690000000001</v>
      </c>
      <c r="E34" s="7">
        <f t="shared" si="0"/>
        <v>182.18690000000001</v>
      </c>
      <c r="F34" s="5" t="s">
        <v>61</v>
      </c>
      <c r="G34" s="5" t="s">
        <v>9</v>
      </c>
      <c r="H34" s="6">
        <v>2</v>
      </c>
      <c r="I34" s="8">
        <f t="shared" si="3"/>
        <v>0.33333333333333331</v>
      </c>
      <c r="J34" s="6">
        <f t="shared" si="1"/>
        <v>3</v>
      </c>
      <c r="K34" s="5"/>
      <c r="L34" s="5"/>
      <c r="M34" s="5"/>
    </row>
    <row r="35" spans="1:13" hidden="1" x14ac:dyDescent="0.3">
      <c r="A35" s="5" t="s">
        <v>62</v>
      </c>
      <c r="B35" s="5" t="s">
        <v>7</v>
      </c>
      <c r="C35" s="5">
        <v>13</v>
      </c>
      <c r="D35" s="6">
        <v>356.67848190000001</v>
      </c>
      <c r="E35" s="7">
        <f t="shared" si="0"/>
        <v>4636.8202646999998</v>
      </c>
      <c r="F35" s="5" t="s">
        <v>63</v>
      </c>
      <c r="G35" s="5" t="s">
        <v>9</v>
      </c>
      <c r="H35" s="6">
        <v>10</v>
      </c>
      <c r="I35" s="8">
        <f t="shared" si="3"/>
        <v>1.6666666666666667</v>
      </c>
      <c r="J35" s="6">
        <f t="shared" si="1"/>
        <v>7.8</v>
      </c>
      <c r="K35" s="5"/>
      <c r="L35" s="5"/>
      <c r="M35" s="5"/>
    </row>
    <row r="36" spans="1:13" hidden="1" x14ac:dyDescent="0.3">
      <c r="A36" s="5" t="s">
        <v>64</v>
      </c>
      <c r="B36" s="5" t="s">
        <v>7</v>
      </c>
      <c r="C36" s="5">
        <v>5</v>
      </c>
      <c r="D36" s="6">
        <v>368.36806912999998</v>
      </c>
      <c r="E36" s="7">
        <f t="shared" si="0"/>
        <v>1841.84034565</v>
      </c>
      <c r="F36" s="5" t="s">
        <v>65</v>
      </c>
      <c r="G36" s="5" t="s">
        <v>9</v>
      </c>
      <c r="H36" s="6">
        <v>5</v>
      </c>
      <c r="I36" s="8">
        <f t="shared" si="3"/>
        <v>0.83333333333333337</v>
      </c>
      <c r="J36" s="6">
        <f t="shared" si="1"/>
        <v>6</v>
      </c>
      <c r="K36" s="5"/>
      <c r="L36" s="5"/>
      <c r="M36" s="5"/>
    </row>
    <row r="37" spans="1:13" hidden="1" x14ac:dyDescent="0.3">
      <c r="A37" s="9" t="s">
        <v>64</v>
      </c>
      <c r="B37" s="9" t="s">
        <v>7</v>
      </c>
      <c r="C37" s="9">
        <f>19-5</f>
        <v>14</v>
      </c>
      <c r="D37" s="10">
        <v>368.36806912999998</v>
      </c>
      <c r="E37" s="11">
        <f t="shared" ref="E37" si="4">+C37*D37</f>
        <v>5157.1529678199995</v>
      </c>
      <c r="F37" s="9" t="s">
        <v>65</v>
      </c>
      <c r="G37" s="9" t="s">
        <v>9</v>
      </c>
      <c r="H37" s="10">
        <v>5</v>
      </c>
      <c r="I37" s="12">
        <f t="shared" si="3"/>
        <v>0.83333333333333337</v>
      </c>
      <c r="J37" s="10">
        <f t="shared" ref="J37" si="5">+C37/I37</f>
        <v>16.8</v>
      </c>
      <c r="K37" s="9"/>
      <c r="L37" s="9"/>
      <c r="M37" s="9"/>
    </row>
    <row r="38" spans="1:13" hidden="1" x14ac:dyDescent="0.3">
      <c r="A38" s="5" t="s">
        <v>66</v>
      </c>
      <c r="B38" s="5" t="s">
        <v>7</v>
      </c>
      <c r="C38" s="5">
        <v>3</v>
      </c>
      <c r="D38" s="6">
        <v>333.80301878</v>
      </c>
      <c r="E38" s="7">
        <f t="shared" si="0"/>
        <v>1001.40905634</v>
      </c>
      <c r="F38" s="5" t="s">
        <v>67</v>
      </c>
      <c r="G38" s="5" t="s">
        <v>9</v>
      </c>
      <c r="H38" s="6">
        <v>0</v>
      </c>
      <c r="I38" s="8">
        <f t="shared" si="3"/>
        <v>0</v>
      </c>
      <c r="J38" s="6" t="e">
        <f t="shared" si="1"/>
        <v>#DIV/0!</v>
      </c>
      <c r="K38" s="5"/>
      <c r="L38" s="5"/>
      <c r="M38" s="5"/>
    </row>
    <row r="39" spans="1:13" hidden="1" x14ac:dyDescent="0.3">
      <c r="A39" s="5" t="s">
        <v>68</v>
      </c>
      <c r="B39" s="5" t="s">
        <v>7</v>
      </c>
      <c r="C39" s="5">
        <v>6</v>
      </c>
      <c r="D39" s="6">
        <v>435.75598101999998</v>
      </c>
      <c r="E39" s="7">
        <f t="shared" si="0"/>
        <v>2614.5358861199998</v>
      </c>
      <c r="F39" s="5" t="s">
        <v>69</v>
      </c>
      <c r="G39" s="5" t="s">
        <v>9</v>
      </c>
      <c r="H39" s="6">
        <v>6</v>
      </c>
      <c r="I39" s="8">
        <f t="shared" si="3"/>
        <v>1</v>
      </c>
      <c r="J39" s="6">
        <f t="shared" si="1"/>
        <v>6</v>
      </c>
      <c r="K39" s="5"/>
      <c r="L39" s="5"/>
      <c r="M39" s="5"/>
    </row>
    <row r="40" spans="1:13" hidden="1" x14ac:dyDescent="0.3">
      <c r="A40" s="9" t="s">
        <v>68</v>
      </c>
      <c r="B40" s="9" t="s">
        <v>7</v>
      </c>
      <c r="C40" s="9">
        <f>72-6</f>
        <v>66</v>
      </c>
      <c r="D40" s="10">
        <v>435.75598101999998</v>
      </c>
      <c r="E40" s="11">
        <f t="shared" si="0"/>
        <v>28759.894747319999</v>
      </c>
      <c r="F40" s="9" t="s">
        <v>69</v>
      </c>
      <c r="G40" s="9" t="s">
        <v>9</v>
      </c>
      <c r="H40" s="10">
        <v>6</v>
      </c>
      <c r="I40" s="12">
        <f t="shared" si="3"/>
        <v>1</v>
      </c>
      <c r="J40" s="10">
        <f t="shared" si="1"/>
        <v>66</v>
      </c>
      <c r="K40" s="9"/>
      <c r="L40" s="9"/>
      <c r="M40" s="9"/>
    </row>
    <row r="41" spans="1:13" hidden="1" x14ac:dyDescent="0.3">
      <c r="A41" s="5" t="s">
        <v>70</v>
      </c>
      <c r="B41" s="5" t="s">
        <v>7</v>
      </c>
      <c r="C41" s="5">
        <v>8</v>
      </c>
      <c r="D41" s="6">
        <v>421.08607059000002</v>
      </c>
      <c r="E41" s="7">
        <f t="shared" si="0"/>
        <v>3368.6885647200002</v>
      </c>
      <c r="F41" s="5" t="s">
        <v>71</v>
      </c>
      <c r="G41" s="5" t="s">
        <v>72</v>
      </c>
      <c r="H41" s="6">
        <v>9</v>
      </c>
      <c r="I41" s="8">
        <f t="shared" si="3"/>
        <v>1.5</v>
      </c>
      <c r="J41" s="6">
        <f t="shared" si="1"/>
        <v>5.333333333333333</v>
      </c>
      <c r="K41" s="5"/>
      <c r="L41" s="5"/>
      <c r="M41" s="5"/>
    </row>
    <row r="42" spans="1:13" hidden="1" x14ac:dyDescent="0.3">
      <c r="A42" s="9" t="s">
        <v>70</v>
      </c>
      <c r="B42" s="9" t="s">
        <v>7</v>
      </c>
      <c r="C42" s="9">
        <f>32-8</f>
        <v>24</v>
      </c>
      <c r="D42" s="10">
        <v>421.08607059000002</v>
      </c>
      <c r="E42" s="11">
        <f t="shared" si="0"/>
        <v>10106.065694160001</v>
      </c>
      <c r="F42" s="9" t="s">
        <v>71</v>
      </c>
      <c r="G42" s="9" t="s">
        <v>72</v>
      </c>
      <c r="H42" s="10">
        <v>9</v>
      </c>
      <c r="I42" s="12">
        <f t="shared" si="3"/>
        <v>1.5</v>
      </c>
      <c r="J42" s="10">
        <f t="shared" si="1"/>
        <v>16</v>
      </c>
      <c r="K42" s="9"/>
      <c r="L42" s="9"/>
      <c r="M42" s="9"/>
    </row>
    <row r="43" spans="1:13" hidden="1" x14ac:dyDescent="0.3">
      <c r="A43" s="5" t="s">
        <v>73</v>
      </c>
      <c r="B43" s="5" t="s">
        <v>7</v>
      </c>
      <c r="C43" s="5">
        <v>8</v>
      </c>
      <c r="D43" s="6">
        <v>422.42744445</v>
      </c>
      <c r="E43" s="7">
        <f t="shared" si="0"/>
        <v>3379.4195556</v>
      </c>
      <c r="F43" s="5" t="s">
        <v>74</v>
      </c>
      <c r="G43" s="5" t="s">
        <v>72</v>
      </c>
      <c r="H43" s="6">
        <v>22</v>
      </c>
      <c r="I43" s="8">
        <f t="shared" si="3"/>
        <v>3.6666666666666665</v>
      </c>
      <c r="J43" s="6">
        <f t="shared" si="1"/>
        <v>2.1818181818181821</v>
      </c>
      <c r="K43" s="5"/>
      <c r="L43" s="5"/>
      <c r="M43" s="5"/>
    </row>
    <row r="44" spans="1:13" hidden="1" x14ac:dyDescent="0.3">
      <c r="A44" s="5" t="s">
        <v>75</v>
      </c>
      <c r="B44" s="5" t="s">
        <v>7</v>
      </c>
      <c r="C44" s="5">
        <v>226</v>
      </c>
      <c r="D44" s="6">
        <v>407.95094175000003</v>
      </c>
      <c r="E44" s="7">
        <f t="shared" si="0"/>
        <v>92196.912835499999</v>
      </c>
      <c r="F44" s="5" t="s">
        <v>76</v>
      </c>
      <c r="G44" s="5" t="s">
        <v>9</v>
      </c>
      <c r="H44" s="6">
        <v>405</v>
      </c>
      <c r="I44" s="8">
        <f t="shared" si="3"/>
        <v>67.5</v>
      </c>
      <c r="J44" s="6">
        <f t="shared" si="1"/>
        <v>3.3481481481481481</v>
      </c>
      <c r="K44" s="5"/>
      <c r="L44" s="5"/>
      <c r="M44" s="5"/>
    </row>
    <row r="45" spans="1:13" hidden="1" x14ac:dyDescent="0.3">
      <c r="A45" s="5" t="s">
        <v>77</v>
      </c>
      <c r="B45" s="5" t="s">
        <v>7</v>
      </c>
      <c r="C45" s="5">
        <v>69</v>
      </c>
      <c r="D45" s="6">
        <v>415.31698611000002</v>
      </c>
      <c r="E45" s="7">
        <f t="shared" si="0"/>
        <v>28656.872041590002</v>
      </c>
      <c r="F45" s="5" t="s">
        <v>78</v>
      </c>
      <c r="G45" s="5" t="s">
        <v>72</v>
      </c>
      <c r="H45" s="6">
        <v>183</v>
      </c>
      <c r="I45" s="8">
        <f t="shared" si="3"/>
        <v>30.5</v>
      </c>
      <c r="J45" s="6">
        <f t="shared" si="1"/>
        <v>2.262295081967213</v>
      </c>
      <c r="K45" s="5"/>
      <c r="L45" s="5"/>
      <c r="M45" s="5"/>
    </row>
    <row r="46" spans="1:13" hidden="1" x14ac:dyDescent="0.3">
      <c r="A46" s="5" t="s">
        <v>79</v>
      </c>
      <c r="B46" s="5" t="s">
        <v>7</v>
      </c>
      <c r="C46" s="5">
        <v>52</v>
      </c>
      <c r="D46" s="6">
        <v>430.15521788000001</v>
      </c>
      <c r="E46" s="7">
        <f t="shared" si="0"/>
        <v>22368.071329760001</v>
      </c>
      <c r="F46" s="5" t="s">
        <v>80</v>
      </c>
      <c r="G46" s="5" t="s">
        <v>72</v>
      </c>
      <c r="H46" s="6">
        <v>51</v>
      </c>
      <c r="I46" s="8">
        <f>+H46/5</f>
        <v>10.199999999999999</v>
      </c>
      <c r="J46" s="6">
        <f t="shared" si="1"/>
        <v>5.098039215686275</v>
      </c>
      <c r="K46" s="5"/>
      <c r="L46" s="5"/>
      <c r="M46" s="5"/>
    </row>
    <row r="47" spans="1:13" hidden="1" x14ac:dyDescent="0.3">
      <c r="A47" s="9" t="s">
        <v>79</v>
      </c>
      <c r="B47" s="9" t="s">
        <v>7</v>
      </c>
      <c r="C47" s="9">
        <f>95-52</f>
        <v>43</v>
      </c>
      <c r="D47" s="10">
        <v>430.15521788000001</v>
      </c>
      <c r="E47" s="11">
        <f t="shared" ref="E47" si="6">+C47*D47</f>
        <v>18496.674368840002</v>
      </c>
      <c r="F47" s="9" t="s">
        <v>80</v>
      </c>
      <c r="G47" s="9" t="s">
        <v>72</v>
      </c>
      <c r="H47" s="10">
        <v>51</v>
      </c>
      <c r="I47" s="12">
        <f>+H47/5</f>
        <v>10.199999999999999</v>
      </c>
      <c r="J47" s="10">
        <f t="shared" ref="J47" si="7">+C47/I47</f>
        <v>4.215686274509804</v>
      </c>
      <c r="K47" s="9"/>
      <c r="L47" s="9"/>
      <c r="M47" s="9"/>
    </row>
    <row r="48" spans="1:13" hidden="1" x14ac:dyDescent="0.3">
      <c r="A48" s="5" t="s">
        <v>81</v>
      </c>
      <c r="B48" s="5" t="s">
        <v>7</v>
      </c>
      <c r="C48" s="5">
        <v>35</v>
      </c>
      <c r="D48" s="6">
        <v>429.69835705000003</v>
      </c>
      <c r="E48" s="7">
        <f t="shared" si="0"/>
        <v>15039.442496750002</v>
      </c>
      <c r="F48" s="5" t="s">
        <v>82</v>
      </c>
      <c r="G48" s="5" t="s">
        <v>9</v>
      </c>
      <c r="H48" s="6">
        <v>40</v>
      </c>
      <c r="I48" s="8">
        <f>+H48/6</f>
        <v>6.666666666666667</v>
      </c>
      <c r="J48" s="6">
        <f t="shared" si="1"/>
        <v>5.25</v>
      </c>
      <c r="K48" s="5"/>
      <c r="L48" s="5"/>
      <c r="M48" s="5"/>
    </row>
    <row r="49" spans="1:13" hidden="1" x14ac:dyDescent="0.3">
      <c r="A49" s="9" t="s">
        <v>81</v>
      </c>
      <c r="B49" s="9" t="s">
        <v>7</v>
      </c>
      <c r="C49" s="9">
        <f>74-35</f>
        <v>39</v>
      </c>
      <c r="D49" s="10">
        <v>429.69835705000003</v>
      </c>
      <c r="E49" s="11">
        <f t="shared" si="0"/>
        <v>16758.23592495</v>
      </c>
      <c r="F49" s="9" t="s">
        <v>82</v>
      </c>
      <c r="G49" s="9" t="s">
        <v>9</v>
      </c>
      <c r="H49" s="10">
        <v>40</v>
      </c>
      <c r="I49" s="12">
        <f>+H49/6</f>
        <v>6.666666666666667</v>
      </c>
      <c r="J49" s="10">
        <f t="shared" si="1"/>
        <v>5.85</v>
      </c>
      <c r="K49" s="9"/>
      <c r="L49" s="9"/>
      <c r="M49" s="9"/>
    </row>
    <row r="50" spans="1:13" hidden="1" x14ac:dyDescent="0.3">
      <c r="A50" s="9" t="s">
        <v>83</v>
      </c>
      <c r="B50" s="9" t="s">
        <v>7</v>
      </c>
      <c r="C50" s="9">
        <v>13</v>
      </c>
      <c r="D50" s="10">
        <v>418.50576923</v>
      </c>
      <c r="E50" s="11">
        <f t="shared" si="0"/>
        <v>5440.5749999899999</v>
      </c>
      <c r="F50" s="9" t="s">
        <v>84</v>
      </c>
      <c r="G50" s="9" t="s">
        <v>9</v>
      </c>
      <c r="H50" s="10">
        <v>2</v>
      </c>
      <c r="I50" s="12">
        <f>+H50/6</f>
        <v>0.33333333333333331</v>
      </c>
      <c r="J50" s="10">
        <f t="shared" si="1"/>
        <v>39</v>
      </c>
      <c r="K50" s="9"/>
      <c r="L50" s="9"/>
      <c r="M50" s="9"/>
    </row>
    <row r="51" spans="1:13" hidden="1" x14ac:dyDescent="0.3">
      <c r="A51" s="13" t="s">
        <v>85</v>
      </c>
      <c r="B51" s="13" t="s">
        <v>7</v>
      </c>
      <c r="C51" s="13">
        <v>1</v>
      </c>
      <c r="D51" s="14">
        <v>781.2</v>
      </c>
      <c r="E51" s="15">
        <f t="shared" si="0"/>
        <v>781.2</v>
      </c>
      <c r="F51" s="13" t="s">
        <v>86</v>
      </c>
      <c r="G51" s="13" t="s">
        <v>9</v>
      </c>
      <c r="H51" s="14">
        <v>0</v>
      </c>
      <c r="I51" s="16">
        <f>+H51/6</f>
        <v>0</v>
      </c>
      <c r="J51" s="14" t="e">
        <f t="shared" si="1"/>
        <v>#DIV/0!</v>
      </c>
      <c r="K51" s="13"/>
      <c r="L51" s="13"/>
      <c r="M51" s="13"/>
    </row>
    <row r="52" spans="1:13" hidden="1" x14ac:dyDescent="0.3">
      <c r="A52" s="5" t="s">
        <v>87</v>
      </c>
      <c r="B52" s="5" t="s">
        <v>7</v>
      </c>
      <c r="C52" s="5">
        <v>51</v>
      </c>
      <c r="D52" s="6">
        <v>1526.0123802200001</v>
      </c>
      <c r="E52" s="7">
        <f t="shared" si="0"/>
        <v>77826.631391219998</v>
      </c>
      <c r="F52" s="5" t="s">
        <v>88</v>
      </c>
      <c r="G52" s="5" t="s">
        <v>9</v>
      </c>
      <c r="H52" s="6">
        <v>78</v>
      </c>
      <c r="I52" s="8">
        <f>+H52/5.5</f>
        <v>14.181818181818182</v>
      </c>
      <c r="J52" s="6">
        <f t="shared" si="1"/>
        <v>3.5961538461538463</v>
      </c>
      <c r="K52" s="5"/>
      <c r="L52" s="5"/>
      <c r="M52" s="5"/>
    </row>
    <row r="53" spans="1:13" hidden="1" x14ac:dyDescent="0.3">
      <c r="A53" s="13" t="s">
        <v>89</v>
      </c>
      <c r="B53" s="13" t="s">
        <v>7</v>
      </c>
      <c r="C53" s="13">
        <v>1</v>
      </c>
      <c r="D53" s="14">
        <v>11077.608899999999</v>
      </c>
      <c r="E53" s="15">
        <f t="shared" si="0"/>
        <v>11077.608899999999</v>
      </c>
      <c r="F53" s="13" t="s">
        <v>90</v>
      </c>
      <c r="G53" s="13" t="s">
        <v>9</v>
      </c>
      <c r="H53" s="14">
        <v>0</v>
      </c>
      <c r="I53" s="16">
        <f t="shared" ref="I53:I65" si="8">+H53/6</f>
        <v>0</v>
      </c>
      <c r="J53" s="14" t="e">
        <f t="shared" si="1"/>
        <v>#DIV/0!</v>
      </c>
      <c r="K53" s="13"/>
      <c r="L53" s="13"/>
      <c r="M53" s="13"/>
    </row>
    <row r="54" spans="1:13" hidden="1" x14ac:dyDescent="0.3">
      <c r="A54" s="5" t="s">
        <v>91</v>
      </c>
      <c r="B54" s="5" t="s">
        <v>7</v>
      </c>
      <c r="C54" s="5">
        <v>3</v>
      </c>
      <c r="D54" s="6">
        <v>9498.4313000000002</v>
      </c>
      <c r="E54" s="7">
        <f t="shared" si="0"/>
        <v>28495.293900000001</v>
      </c>
      <c r="F54" s="5" t="s">
        <v>92</v>
      </c>
      <c r="G54" s="5" t="s">
        <v>9</v>
      </c>
      <c r="H54" s="6">
        <v>3</v>
      </c>
      <c r="I54" s="8">
        <f t="shared" si="8"/>
        <v>0.5</v>
      </c>
      <c r="J54" s="6">
        <f t="shared" si="1"/>
        <v>6</v>
      </c>
      <c r="K54" s="5"/>
      <c r="L54" s="5"/>
      <c r="M54" s="5"/>
    </row>
    <row r="55" spans="1:13" hidden="1" x14ac:dyDescent="0.3">
      <c r="A55" s="5" t="s">
        <v>93</v>
      </c>
      <c r="B55" s="5" t="s">
        <v>7</v>
      </c>
      <c r="C55" s="5">
        <v>86</v>
      </c>
      <c r="D55" s="6">
        <v>2311.11098915</v>
      </c>
      <c r="E55" s="7">
        <f t="shared" si="0"/>
        <v>198755.5450669</v>
      </c>
      <c r="F55" s="5" t="s">
        <v>94</v>
      </c>
      <c r="G55" s="5" t="s">
        <v>9</v>
      </c>
      <c r="H55" s="6">
        <v>558</v>
      </c>
      <c r="I55" s="8">
        <f t="shared" si="8"/>
        <v>93</v>
      </c>
      <c r="J55" s="6">
        <f t="shared" si="1"/>
        <v>0.92473118279569888</v>
      </c>
      <c r="K55" s="5"/>
      <c r="L55" s="5"/>
      <c r="M55" s="5"/>
    </row>
    <row r="56" spans="1:13" hidden="1" x14ac:dyDescent="0.3">
      <c r="A56" s="5" t="s">
        <v>95</v>
      </c>
      <c r="B56" s="5" t="s">
        <v>7</v>
      </c>
      <c r="C56" s="5">
        <v>17</v>
      </c>
      <c r="D56" s="6">
        <v>1972.24829576</v>
      </c>
      <c r="E56" s="7">
        <f t="shared" si="0"/>
        <v>33528.221027920001</v>
      </c>
      <c r="F56" s="5" t="s">
        <v>96</v>
      </c>
      <c r="G56" s="5" t="s">
        <v>9</v>
      </c>
      <c r="H56" s="6">
        <v>27</v>
      </c>
      <c r="I56" s="8">
        <f t="shared" si="8"/>
        <v>4.5</v>
      </c>
      <c r="J56" s="6">
        <f t="shared" si="1"/>
        <v>3.7777777777777777</v>
      </c>
      <c r="K56" s="5"/>
      <c r="L56" s="5"/>
      <c r="M56" s="5"/>
    </row>
    <row r="57" spans="1:13" hidden="1" x14ac:dyDescent="0.3">
      <c r="A57" s="13" t="s">
        <v>97</v>
      </c>
      <c r="B57" s="13" t="s">
        <v>7</v>
      </c>
      <c r="C57" s="13">
        <v>1</v>
      </c>
      <c r="D57" s="14">
        <v>604.407825</v>
      </c>
      <c r="E57" s="15">
        <f t="shared" si="0"/>
        <v>604.407825</v>
      </c>
      <c r="F57" s="13" t="s">
        <v>98</v>
      </c>
      <c r="G57" s="13" t="s">
        <v>9</v>
      </c>
      <c r="H57" s="14">
        <v>0</v>
      </c>
      <c r="I57" s="16">
        <f t="shared" si="8"/>
        <v>0</v>
      </c>
      <c r="J57" s="14" t="e">
        <f t="shared" si="1"/>
        <v>#DIV/0!</v>
      </c>
      <c r="K57" s="13"/>
      <c r="L57" s="13"/>
      <c r="M57" s="13"/>
    </row>
    <row r="58" spans="1:13" hidden="1" x14ac:dyDescent="0.3">
      <c r="A58" s="5" t="s">
        <v>99</v>
      </c>
      <c r="B58" s="5" t="s">
        <v>7</v>
      </c>
      <c r="C58" s="5">
        <v>1</v>
      </c>
      <c r="D58" s="6">
        <v>710.89269999999999</v>
      </c>
      <c r="E58" s="7">
        <f t="shared" si="0"/>
        <v>710.89269999999999</v>
      </c>
      <c r="F58" s="5" t="s">
        <v>100</v>
      </c>
      <c r="G58" s="5" t="s">
        <v>9</v>
      </c>
      <c r="H58" s="6">
        <v>1</v>
      </c>
      <c r="I58" s="8">
        <f t="shared" si="8"/>
        <v>0.16666666666666666</v>
      </c>
      <c r="J58" s="6">
        <f t="shared" si="1"/>
        <v>6</v>
      </c>
      <c r="K58" s="5"/>
      <c r="L58" s="5"/>
      <c r="M58" s="5"/>
    </row>
    <row r="59" spans="1:13" hidden="1" x14ac:dyDescent="0.3">
      <c r="A59" s="5" t="s">
        <v>101</v>
      </c>
      <c r="B59" s="5" t="s">
        <v>7</v>
      </c>
      <c r="C59" s="5">
        <v>6</v>
      </c>
      <c r="D59" s="6">
        <v>146.55311922999999</v>
      </c>
      <c r="E59" s="7">
        <f t="shared" si="0"/>
        <v>879.31871537999996</v>
      </c>
      <c r="F59" s="5" t="s">
        <v>102</v>
      </c>
      <c r="G59" s="5" t="s">
        <v>9</v>
      </c>
      <c r="H59" s="6">
        <v>6</v>
      </c>
      <c r="I59" s="8">
        <f t="shared" si="8"/>
        <v>1</v>
      </c>
      <c r="J59" s="6">
        <f t="shared" si="1"/>
        <v>6</v>
      </c>
      <c r="K59" s="5"/>
      <c r="L59" s="5"/>
      <c r="M59" s="5"/>
    </row>
    <row r="60" spans="1:13" hidden="1" x14ac:dyDescent="0.3">
      <c r="A60" s="9" t="s">
        <v>101</v>
      </c>
      <c r="B60" s="9" t="s">
        <v>7</v>
      </c>
      <c r="C60" s="9">
        <f>21-6</f>
        <v>15</v>
      </c>
      <c r="D60" s="10">
        <v>146.55311922999999</v>
      </c>
      <c r="E60" s="11">
        <f t="shared" si="0"/>
        <v>2198.2967884499999</v>
      </c>
      <c r="F60" s="9" t="s">
        <v>102</v>
      </c>
      <c r="G60" s="9" t="s">
        <v>9</v>
      </c>
      <c r="H60" s="10">
        <v>6</v>
      </c>
      <c r="I60" s="12">
        <f t="shared" si="8"/>
        <v>1</v>
      </c>
      <c r="J60" s="10">
        <f t="shared" si="1"/>
        <v>15</v>
      </c>
      <c r="K60" s="9"/>
      <c r="L60" s="9"/>
      <c r="M60" s="9"/>
    </row>
    <row r="61" spans="1:13" hidden="1" x14ac:dyDescent="0.3">
      <c r="A61" s="5" t="s">
        <v>103</v>
      </c>
      <c r="B61" s="5" t="s">
        <v>104</v>
      </c>
      <c r="C61" s="5">
        <v>300</v>
      </c>
      <c r="D61" s="6">
        <v>553.57560000000001</v>
      </c>
      <c r="E61" s="7">
        <f t="shared" si="0"/>
        <v>166072.68</v>
      </c>
      <c r="F61" s="5" t="s">
        <v>105</v>
      </c>
      <c r="G61" s="5" t="s">
        <v>9</v>
      </c>
      <c r="H61" s="6">
        <v>0</v>
      </c>
      <c r="I61" s="8">
        <f t="shared" si="8"/>
        <v>0</v>
      </c>
      <c r="J61" s="6" t="e">
        <f t="shared" si="1"/>
        <v>#DIV/0!</v>
      </c>
      <c r="K61" s="5"/>
      <c r="L61" s="5"/>
      <c r="M61" s="5" t="s">
        <v>673</v>
      </c>
    </row>
    <row r="62" spans="1:13" hidden="1" x14ac:dyDescent="0.3">
      <c r="A62" s="5" t="s">
        <v>106</v>
      </c>
      <c r="B62" s="5" t="s">
        <v>104</v>
      </c>
      <c r="C62" s="5">
        <v>190</v>
      </c>
      <c r="D62" s="6">
        <v>352.7604432</v>
      </c>
      <c r="E62" s="7">
        <f t="shared" si="0"/>
        <v>67024.484207999994</v>
      </c>
      <c r="F62" s="5" t="s">
        <v>107</v>
      </c>
      <c r="G62" s="5" t="s">
        <v>9</v>
      </c>
      <c r="H62" s="6">
        <v>602</v>
      </c>
      <c r="I62" s="8">
        <f t="shared" si="8"/>
        <v>100.33333333333333</v>
      </c>
      <c r="J62" s="6">
        <f t="shared" si="1"/>
        <v>1.8936877076411962</v>
      </c>
      <c r="K62" s="5"/>
      <c r="L62" s="5"/>
      <c r="M62" s="5"/>
    </row>
    <row r="63" spans="1:13" hidden="1" x14ac:dyDescent="0.3">
      <c r="A63" s="13" t="s">
        <v>108</v>
      </c>
      <c r="B63" s="13" t="s">
        <v>109</v>
      </c>
      <c r="C63" s="13">
        <v>1</v>
      </c>
      <c r="D63" s="14">
        <v>1122.4100000000001</v>
      </c>
      <c r="E63" s="15">
        <f t="shared" si="0"/>
        <v>1122.4100000000001</v>
      </c>
      <c r="F63" s="13" t="s">
        <v>110</v>
      </c>
      <c r="G63" s="13" t="s">
        <v>9</v>
      </c>
      <c r="H63" s="14">
        <v>0</v>
      </c>
      <c r="I63" s="16">
        <f t="shared" si="8"/>
        <v>0</v>
      </c>
      <c r="J63" s="14" t="e">
        <f t="shared" si="1"/>
        <v>#DIV/0!</v>
      </c>
      <c r="K63" s="13"/>
      <c r="L63" s="13"/>
      <c r="M63" s="13"/>
    </row>
    <row r="64" spans="1:13" hidden="1" x14ac:dyDescent="0.3">
      <c r="A64" s="13" t="s">
        <v>111</v>
      </c>
      <c r="B64" s="13" t="s">
        <v>109</v>
      </c>
      <c r="C64" s="13">
        <v>1</v>
      </c>
      <c r="D64" s="14">
        <v>1282.76</v>
      </c>
      <c r="E64" s="15">
        <f t="shared" si="0"/>
        <v>1282.76</v>
      </c>
      <c r="F64" s="13" t="s">
        <v>112</v>
      </c>
      <c r="G64" s="13" t="s">
        <v>9</v>
      </c>
      <c r="H64" s="14">
        <v>0</v>
      </c>
      <c r="I64" s="16">
        <f t="shared" si="8"/>
        <v>0</v>
      </c>
      <c r="J64" s="14" t="e">
        <f t="shared" si="1"/>
        <v>#DIV/0!</v>
      </c>
      <c r="K64" s="13"/>
      <c r="L64" s="13"/>
      <c r="M64" s="13"/>
    </row>
    <row r="65" spans="1:13" hidden="1" x14ac:dyDescent="0.3">
      <c r="A65" s="5" t="s">
        <v>113</v>
      </c>
      <c r="B65" s="5" t="s">
        <v>109</v>
      </c>
      <c r="C65" s="5">
        <v>4</v>
      </c>
      <c r="D65" s="6">
        <v>292.27381652000003</v>
      </c>
      <c r="E65" s="7">
        <f t="shared" si="0"/>
        <v>1169.0952660800001</v>
      </c>
      <c r="F65" s="5" t="s">
        <v>114</v>
      </c>
      <c r="G65" s="5" t="s">
        <v>9</v>
      </c>
      <c r="H65" s="6">
        <v>0</v>
      </c>
      <c r="I65" s="8">
        <f t="shared" si="8"/>
        <v>0</v>
      </c>
      <c r="J65" s="6" t="e">
        <f t="shared" si="1"/>
        <v>#DIV/0!</v>
      </c>
      <c r="K65" s="5"/>
      <c r="L65" s="5"/>
      <c r="M65" s="5"/>
    </row>
    <row r="66" spans="1:13" hidden="1" x14ac:dyDescent="0.3">
      <c r="A66" s="5" t="s">
        <v>115</v>
      </c>
      <c r="B66" s="5" t="s">
        <v>109</v>
      </c>
      <c r="C66" s="5">
        <v>1</v>
      </c>
      <c r="D66" s="6">
        <v>382.2</v>
      </c>
      <c r="E66" s="7">
        <f t="shared" si="0"/>
        <v>382.2</v>
      </c>
      <c r="F66" s="5" t="s">
        <v>116</v>
      </c>
      <c r="G66" s="5" t="s">
        <v>9</v>
      </c>
      <c r="H66" s="6">
        <v>0</v>
      </c>
      <c r="I66" s="8">
        <f t="shared" ref="I66:I70" si="9">+H66/6</f>
        <v>0</v>
      </c>
      <c r="J66" s="6" t="e">
        <f t="shared" si="1"/>
        <v>#DIV/0!</v>
      </c>
      <c r="K66" s="5"/>
      <c r="L66" s="5"/>
      <c r="M66" s="5"/>
    </row>
    <row r="67" spans="1:13" hidden="1" x14ac:dyDescent="0.3">
      <c r="A67" s="5" t="s">
        <v>117</v>
      </c>
      <c r="B67" s="5" t="s">
        <v>109</v>
      </c>
      <c r="C67" s="5">
        <v>28</v>
      </c>
      <c r="D67" s="6">
        <v>498.81261205999999</v>
      </c>
      <c r="E67" s="7">
        <f t="shared" si="0"/>
        <v>13966.75313768</v>
      </c>
      <c r="F67" s="5" t="s">
        <v>118</v>
      </c>
      <c r="G67" s="5" t="s">
        <v>9</v>
      </c>
      <c r="H67" s="6">
        <v>1</v>
      </c>
      <c r="I67" s="8">
        <f t="shared" si="9"/>
        <v>0.16666666666666666</v>
      </c>
      <c r="J67" s="6">
        <f t="shared" si="1"/>
        <v>168</v>
      </c>
      <c r="K67" s="5"/>
      <c r="L67" s="5"/>
      <c r="M67" s="5"/>
    </row>
    <row r="68" spans="1:13" hidden="1" x14ac:dyDescent="0.3">
      <c r="A68" s="5" t="s">
        <v>119</v>
      </c>
      <c r="B68" s="5" t="s">
        <v>109</v>
      </c>
      <c r="C68" s="5">
        <v>6</v>
      </c>
      <c r="D68" s="6">
        <v>587.21116727000003</v>
      </c>
      <c r="E68" s="7">
        <f t="shared" si="0"/>
        <v>3523.2670036200002</v>
      </c>
      <c r="F68" s="5" t="s">
        <v>120</v>
      </c>
      <c r="G68" s="5" t="s">
        <v>9</v>
      </c>
      <c r="H68" s="6">
        <v>2</v>
      </c>
      <c r="I68" s="8">
        <f t="shared" si="9"/>
        <v>0.33333333333333331</v>
      </c>
      <c r="J68" s="6">
        <f t="shared" si="1"/>
        <v>18</v>
      </c>
      <c r="K68" s="5"/>
      <c r="L68" s="5"/>
      <c r="M68" s="5"/>
    </row>
    <row r="69" spans="1:13" hidden="1" x14ac:dyDescent="0.3">
      <c r="A69" s="5" t="s">
        <v>121</v>
      </c>
      <c r="B69" s="5" t="s">
        <v>109</v>
      </c>
      <c r="C69" s="5">
        <v>2</v>
      </c>
      <c r="D69" s="6">
        <v>728.86859259000005</v>
      </c>
      <c r="E69" s="7">
        <f t="shared" si="0"/>
        <v>1457.7371851800001</v>
      </c>
      <c r="F69" s="5" t="s">
        <v>122</v>
      </c>
      <c r="G69" s="5" t="s">
        <v>9</v>
      </c>
      <c r="H69" s="6">
        <v>0</v>
      </c>
      <c r="I69" s="8">
        <f t="shared" si="9"/>
        <v>0</v>
      </c>
      <c r="J69" s="6" t="e">
        <f t="shared" si="1"/>
        <v>#DIV/0!</v>
      </c>
      <c r="K69" s="5"/>
      <c r="L69" s="5"/>
      <c r="M69" s="5"/>
    </row>
    <row r="70" spans="1:13" hidden="1" x14ac:dyDescent="0.3">
      <c r="A70" s="5" t="s">
        <v>123</v>
      </c>
      <c r="B70" s="5" t="s">
        <v>109</v>
      </c>
      <c r="C70" s="5">
        <v>2</v>
      </c>
      <c r="D70" s="6">
        <v>1470</v>
      </c>
      <c r="E70" s="7">
        <f t="shared" si="0"/>
        <v>2940</v>
      </c>
      <c r="F70" s="5" t="s">
        <v>124</v>
      </c>
      <c r="G70" s="5" t="s">
        <v>9</v>
      </c>
      <c r="H70" s="6">
        <v>0</v>
      </c>
      <c r="I70" s="8">
        <f t="shared" si="9"/>
        <v>0</v>
      </c>
      <c r="J70" s="6" t="e">
        <f t="shared" si="1"/>
        <v>#DIV/0!</v>
      </c>
      <c r="K70" s="5"/>
      <c r="L70" s="5"/>
      <c r="M70" s="5"/>
    </row>
    <row r="71" spans="1:13" hidden="1" x14ac:dyDescent="0.3">
      <c r="A71" s="13" t="s">
        <v>125</v>
      </c>
      <c r="B71" s="13" t="s">
        <v>109</v>
      </c>
      <c r="C71" s="13">
        <v>1</v>
      </c>
      <c r="D71" s="14">
        <v>1122.345</v>
      </c>
      <c r="E71" s="15">
        <f t="shared" si="0"/>
        <v>1122.345</v>
      </c>
      <c r="F71" s="13" t="s">
        <v>126</v>
      </c>
      <c r="G71" s="13" t="s">
        <v>9</v>
      </c>
      <c r="H71" s="14">
        <v>0</v>
      </c>
      <c r="I71" s="16">
        <f t="shared" ref="I71:I102" si="10">+H71/6</f>
        <v>0</v>
      </c>
      <c r="J71" s="14" t="e">
        <f t="shared" si="1"/>
        <v>#DIV/0!</v>
      </c>
      <c r="K71" s="13"/>
      <c r="L71" s="13"/>
      <c r="M71" s="13"/>
    </row>
    <row r="72" spans="1:13" hidden="1" x14ac:dyDescent="0.3">
      <c r="A72" s="13" t="s">
        <v>127</v>
      </c>
      <c r="B72" s="13" t="s">
        <v>109</v>
      </c>
      <c r="C72" s="13">
        <v>1</v>
      </c>
      <c r="D72" s="14">
        <v>1595.43</v>
      </c>
      <c r="E72" s="15">
        <f t="shared" si="0"/>
        <v>1595.43</v>
      </c>
      <c r="F72" s="13" t="s">
        <v>128</v>
      </c>
      <c r="G72" s="13" t="s">
        <v>9</v>
      </c>
      <c r="H72" s="14">
        <v>0</v>
      </c>
      <c r="I72" s="16">
        <f t="shared" si="10"/>
        <v>0</v>
      </c>
      <c r="J72" s="14" t="e">
        <f t="shared" si="1"/>
        <v>#DIV/0!</v>
      </c>
      <c r="K72" s="13"/>
      <c r="L72" s="13"/>
      <c r="M72" s="13"/>
    </row>
    <row r="73" spans="1:13" hidden="1" x14ac:dyDescent="0.3">
      <c r="A73" s="5" t="s">
        <v>129</v>
      </c>
      <c r="B73" s="5" t="s">
        <v>109</v>
      </c>
      <c r="C73" s="5">
        <v>1</v>
      </c>
      <c r="D73" s="6">
        <v>2474.66</v>
      </c>
      <c r="E73" s="7">
        <f t="shared" si="0"/>
        <v>2474.66</v>
      </c>
      <c r="F73" s="5" t="s">
        <v>130</v>
      </c>
      <c r="G73" s="5" t="s">
        <v>9</v>
      </c>
      <c r="H73" s="6">
        <v>2</v>
      </c>
      <c r="I73" s="8">
        <f t="shared" si="10"/>
        <v>0.33333333333333331</v>
      </c>
      <c r="J73" s="6">
        <f t="shared" si="1"/>
        <v>3</v>
      </c>
      <c r="K73" s="5"/>
      <c r="L73" s="5"/>
      <c r="M73" s="5"/>
    </row>
    <row r="74" spans="1:13" hidden="1" x14ac:dyDescent="0.3">
      <c r="A74" s="5" t="s">
        <v>131</v>
      </c>
      <c r="B74" s="5" t="s">
        <v>109</v>
      </c>
      <c r="C74" s="5">
        <v>2</v>
      </c>
      <c r="D74" s="6">
        <v>2095.17</v>
      </c>
      <c r="E74" s="7">
        <f t="shared" si="0"/>
        <v>4190.34</v>
      </c>
      <c r="F74" s="5" t="s">
        <v>132</v>
      </c>
      <c r="G74" s="5" t="s">
        <v>9</v>
      </c>
      <c r="H74" s="6">
        <v>10</v>
      </c>
      <c r="I74" s="8">
        <f t="shared" si="10"/>
        <v>1.6666666666666667</v>
      </c>
      <c r="J74" s="6">
        <f t="shared" si="1"/>
        <v>1.2</v>
      </c>
      <c r="K74" s="5"/>
      <c r="L74" s="5"/>
      <c r="M74" s="5"/>
    </row>
    <row r="75" spans="1:13" hidden="1" x14ac:dyDescent="0.3">
      <c r="A75" s="13" t="s">
        <v>133</v>
      </c>
      <c r="B75" s="13" t="s">
        <v>109</v>
      </c>
      <c r="C75" s="13">
        <v>1</v>
      </c>
      <c r="D75" s="14">
        <v>1598.11</v>
      </c>
      <c r="E75" s="15">
        <f t="shared" si="0"/>
        <v>1598.11</v>
      </c>
      <c r="F75" s="13" t="s">
        <v>134</v>
      </c>
      <c r="G75" s="13" t="s">
        <v>9</v>
      </c>
      <c r="H75" s="14">
        <v>0</v>
      </c>
      <c r="I75" s="16">
        <f t="shared" si="10"/>
        <v>0</v>
      </c>
      <c r="J75" s="14" t="e">
        <f t="shared" si="1"/>
        <v>#DIV/0!</v>
      </c>
      <c r="K75" s="13"/>
      <c r="L75" s="13"/>
      <c r="M75" s="13"/>
    </row>
    <row r="76" spans="1:13" hidden="1" x14ac:dyDescent="0.3">
      <c r="A76" s="5" t="s">
        <v>135</v>
      </c>
      <c r="B76" s="5" t="s">
        <v>109</v>
      </c>
      <c r="C76" s="5">
        <v>2</v>
      </c>
      <c r="D76" s="6">
        <v>2367.7600000000002</v>
      </c>
      <c r="E76" s="7">
        <f t="shared" si="0"/>
        <v>4735.5200000000004</v>
      </c>
      <c r="F76" s="5" t="s">
        <v>136</v>
      </c>
      <c r="G76" s="5" t="s">
        <v>9</v>
      </c>
      <c r="H76" s="6">
        <v>8</v>
      </c>
      <c r="I76" s="8">
        <f t="shared" si="10"/>
        <v>1.3333333333333333</v>
      </c>
      <c r="J76" s="6">
        <f t="shared" si="1"/>
        <v>1.5</v>
      </c>
      <c r="K76" s="5"/>
      <c r="L76" s="5"/>
      <c r="M76" s="5"/>
    </row>
    <row r="77" spans="1:13" hidden="1" x14ac:dyDescent="0.3">
      <c r="A77" s="13" t="s">
        <v>137</v>
      </c>
      <c r="B77" s="13" t="s">
        <v>109</v>
      </c>
      <c r="C77" s="13">
        <v>1</v>
      </c>
      <c r="D77" s="14">
        <v>1940.17</v>
      </c>
      <c r="E77" s="15">
        <f t="shared" si="0"/>
        <v>1940.17</v>
      </c>
      <c r="F77" s="13" t="s">
        <v>138</v>
      </c>
      <c r="G77" s="13" t="s">
        <v>9</v>
      </c>
      <c r="H77" s="14">
        <v>0</v>
      </c>
      <c r="I77" s="16">
        <f t="shared" si="10"/>
        <v>0</v>
      </c>
      <c r="J77" s="14" t="e">
        <f t="shared" si="1"/>
        <v>#DIV/0!</v>
      </c>
      <c r="K77" s="13"/>
      <c r="L77" s="13"/>
      <c r="M77" s="13"/>
    </row>
    <row r="78" spans="1:13" hidden="1" x14ac:dyDescent="0.3">
      <c r="A78" s="13" t="s">
        <v>139</v>
      </c>
      <c r="B78" s="13" t="s">
        <v>109</v>
      </c>
      <c r="C78" s="13">
        <v>1</v>
      </c>
      <c r="D78" s="14">
        <v>2203.7930999999999</v>
      </c>
      <c r="E78" s="15">
        <f t="shared" si="0"/>
        <v>2203.7930999999999</v>
      </c>
      <c r="F78" s="13" t="s">
        <v>140</v>
      </c>
      <c r="G78" s="13" t="s">
        <v>9</v>
      </c>
      <c r="H78" s="14">
        <v>0</v>
      </c>
      <c r="I78" s="16">
        <f t="shared" si="10"/>
        <v>0</v>
      </c>
      <c r="J78" s="14" t="e">
        <f t="shared" si="1"/>
        <v>#DIV/0!</v>
      </c>
      <c r="K78" s="13"/>
      <c r="L78" s="13"/>
      <c r="M78" s="13"/>
    </row>
    <row r="79" spans="1:13" hidden="1" x14ac:dyDescent="0.3">
      <c r="A79" s="5" t="s">
        <v>141</v>
      </c>
      <c r="B79" s="5" t="s">
        <v>109</v>
      </c>
      <c r="C79" s="5">
        <v>2</v>
      </c>
      <c r="D79" s="6">
        <v>1902.76</v>
      </c>
      <c r="E79" s="7">
        <f t="shared" ref="E79:E150" si="11">+C79*D79</f>
        <v>3805.52</v>
      </c>
      <c r="F79" s="5" t="s">
        <v>142</v>
      </c>
      <c r="G79" s="5" t="s">
        <v>9</v>
      </c>
      <c r="H79" s="6">
        <v>8</v>
      </c>
      <c r="I79" s="8">
        <f t="shared" si="10"/>
        <v>1.3333333333333333</v>
      </c>
      <c r="J79" s="6">
        <f t="shared" ref="J79:J150" si="12">+C79/I79</f>
        <v>1.5</v>
      </c>
      <c r="K79" s="5"/>
      <c r="L79" s="5"/>
      <c r="M79" s="5"/>
    </row>
    <row r="80" spans="1:13" hidden="1" x14ac:dyDescent="0.3">
      <c r="A80" s="13" t="s">
        <v>143</v>
      </c>
      <c r="B80" s="13" t="s">
        <v>109</v>
      </c>
      <c r="C80" s="13">
        <v>1</v>
      </c>
      <c r="D80" s="14">
        <v>1902.76</v>
      </c>
      <c r="E80" s="15">
        <f t="shared" si="11"/>
        <v>1902.76</v>
      </c>
      <c r="F80" s="13" t="s">
        <v>144</v>
      </c>
      <c r="G80" s="13" t="s">
        <v>9</v>
      </c>
      <c r="H80" s="14">
        <v>0</v>
      </c>
      <c r="I80" s="16">
        <f t="shared" si="10"/>
        <v>0</v>
      </c>
      <c r="J80" s="14" t="e">
        <f t="shared" si="12"/>
        <v>#DIV/0!</v>
      </c>
      <c r="K80" s="13"/>
      <c r="L80" s="13"/>
      <c r="M80" s="13"/>
    </row>
    <row r="81" spans="1:13" hidden="1" x14ac:dyDescent="0.3">
      <c r="A81" s="5" t="s">
        <v>145</v>
      </c>
      <c r="B81" s="5" t="s">
        <v>109</v>
      </c>
      <c r="C81" s="5">
        <v>1</v>
      </c>
      <c r="D81" s="6">
        <v>3992.59</v>
      </c>
      <c r="E81" s="7">
        <f t="shared" si="11"/>
        <v>3992.59</v>
      </c>
      <c r="F81" s="5" t="s">
        <v>146</v>
      </c>
      <c r="G81" s="5" t="s">
        <v>9</v>
      </c>
      <c r="H81" s="6">
        <v>5</v>
      </c>
      <c r="I81" s="8">
        <f t="shared" si="10"/>
        <v>0.83333333333333337</v>
      </c>
      <c r="J81" s="6">
        <f t="shared" si="12"/>
        <v>1.2</v>
      </c>
      <c r="K81" s="5"/>
      <c r="L81" s="5"/>
      <c r="M81" s="5"/>
    </row>
    <row r="82" spans="1:13" hidden="1" x14ac:dyDescent="0.3">
      <c r="A82" s="13" t="s">
        <v>147</v>
      </c>
      <c r="B82" s="13" t="s">
        <v>109</v>
      </c>
      <c r="C82" s="13">
        <v>1</v>
      </c>
      <c r="D82" s="14">
        <v>1229.31</v>
      </c>
      <c r="E82" s="15">
        <f t="shared" si="11"/>
        <v>1229.31</v>
      </c>
      <c r="F82" s="13" t="s">
        <v>148</v>
      </c>
      <c r="G82" s="13" t="s">
        <v>9</v>
      </c>
      <c r="H82" s="14">
        <v>0</v>
      </c>
      <c r="I82" s="16">
        <f t="shared" si="10"/>
        <v>0</v>
      </c>
      <c r="J82" s="14" t="e">
        <f t="shared" si="12"/>
        <v>#DIV/0!</v>
      </c>
      <c r="K82" s="13"/>
      <c r="L82" s="13"/>
      <c r="M82" s="13"/>
    </row>
    <row r="83" spans="1:13" hidden="1" x14ac:dyDescent="0.3">
      <c r="A83" s="5" t="s">
        <v>149</v>
      </c>
      <c r="B83" s="5" t="s">
        <v>109</v>
      </c>
      <c r="C83" s="5">
        <v>1</v>
      </c>
      <c r="D83" s="6">
        <v>2079.14</v>
      </c>
      <c r="E83" s="7">
        <f t="shared" si="11"/>
        <v>2079.14</v>
      </c>
      <c r="F83" s="5" t="s">
        <v>150</v>
      </c>
      <c r="G83" s="5" t="s">
        <v>9</v>
      </c>
      <c r="H83" s="6">
        <v>4</v>
      </c>
      <c r="I83" s="8">
        <f t="shared" si="10"/>
        <v>0.66666666666666663</v>
      </c>
      <c r="J83" s="6">
        <f t="shared" si="12"/>
        <v>1.5</v>
      </c>
      <c r="K83" s="5"/>
      <c r="L83" s="5"/>
      <c r="M83" s="5"/>
    </row>
    <row r="84" spans="1:13" hidden="1" x14ac:dyDescent="0.3">
      <c r="A84" s="13" t="s">
        <v>151</v>
      </c>
      <c r="B84" s="13" t="s">
        <v>109</v>
      </c>
      <c r="C84" s="13">
        <v>1</v>
      </c>
      <c r="D84" s="14">
        <v>2405.17</v>
      </c>
      <c r="E84" s="15">
        <f t="shared" si="11"/>
        <v>2405.17</v>
      </c>
      <c r="F84" s="13" t="s">
        <v>152</v>
      </c>
      <c r="G84" s="13" t="s">
        <v>9</v>
      </c>
      <c r="H84" s="14">
        <v>0</v>
      </c>
      <c r="I84" s="16">
        <f t="shared" si="10"/>
        <v>0</v>
      </c>
      <c r="J84" s="14" t="e">
        <f t="shared" si="12"/>
        <v>#DIV/0!</v>
      </c>
      <c r="K84" s="13"/>
      <c r="L84" s="13"/>
      <c r="M84" s="13"/>
    </row>
    <row r="85" spans="1:13" hidden="1" x14ac:dyDescent="0.3">
      <c r="A85" s="5" t="s">
        <v>153</v>
      </c>
      <c r="B85" s="5" t="s">
        <v>109</v>
      </c>
      <c r="C85" s="5">
        <v>1</v>
      </c>
      <c r="D85" s="6">
        <v>2421.21</v>
      </c>
      <c r="E85" s="7">
        <f t="shared" si="11"/>
        <v>2421.21</v>
      </c>
      <c r="F85" s="5" t="s">
        <v>154</v>
      </c>
      <c r="G85" s="5" t="s">
        <v>9</v>
      </c>
      <c r="H85" s="6">
        <v>4</v>
      </c>
      <c r="I85" s="8">
        <f t="shared" si="10"/>
        <v>0.66666666666666663</v>
      </c>
      <c r="J85" s="6">
        <f t="shared" si="12"/>
        <v>1.5</v>
      </c>
      <c r="K85" s="5"/>
      <c r="L85" s="5"/>
      <c r="M85" s="5"/>
    </row>
    <row r="86" spans="1:13" hidden="1" x14ac:dyDescent="0.3">
      <c r="A86" s="5" t="s">
        <v>155</v>
      </c>
      <c r="B86" s="5" t="s">
        <v>109</v>
      </c>
      <c r="C86" s="5">
        <v>2</v>
      </c>
      <c r="D86" s="6">
        <v>2661.72</v>
      </c>
      <c r="E86" s="7">
        <f t="shared" si="11"/>
        <v>5323.44</v>
      </c>
      <c r="F86" s="5" t="s">
        <v>156</v>
      </c>
      <c r="G86" s="5" t="s">
        <v>9</v>
      </c>
      <c r="H86" s="6">
        <v>6</v>
      </c>
      <c r="I86" s="8">
        <f t="shared" si="10"/>
        <v>1</v>
      </c>
      <c r="J86" s="6">
        <f t="shared" si="12"/>
        <v>2</v>
      </c>
      <c r="K86" s="5"/>
      <c r="L86" s="5"/>
      <c r="M86" s="5"/>
    </row>
    <row r="87" spans="1:13" hidden="1" x14ac:dyDescent="0.3">
      <c r="A87" s="5" t="s">
        <v>157</v>
      </c>
      <c r="B87" s="5" t="s">
        <v>109</v>
      </c>
      <c r="C87" s="5">
        <v>1</v>
      </c>
      <c r="D87" s="6">
        <v>3992.59</v>
      </c>
      <c r="E87" s="7">
        <f t="shared" si="11"/>
        <v>3992.59</v>
      </c>
      <c r="F87" s="5" t="s">
        <v>158</v>
      </c>
      <c r="G87" s="5" t="s">
        <v>9</v>
      </c>
      <c r="H87" s="6">
        <v>1</v>
      </c>
      <c r="I87" s="8">
        <f t="shared" si="10"/>
        <v>0.16666666666666666</v>
      </c>
      <c r="J87" s="6">
        <f t="shared" si="12"/>
        <v>6</v>
      </c>
      <c r="K87" s="5"/>
      <c r="L87" s="5"/>
      <c r="M87" s="5"/>
    </row>
    <row r="88" spans="1:13" hidden="1" x14ac:dyDescent="0.3">
      <c r="A88" s="5" t="s">
        <v>159</v>
      </c>
      <c r="B88" s="5" t="s">
        <v>160</v>
      </c>
      <c r="C88" s="5">
        <v>4</v>
      </c>
      <c r="D88" s="6">
        <v>127.58620000000001</v>
      </c>
      <c r="E88" s="7">
        <f t="shared" si="11"/>
        <v>510.34480000000002</v>
      </c>
      <c r="F88" s="5" t="s">
        <v>161</v>
      </c>
      <c r="G88" s="5" t="s">
        <v>9</v>
      </c>
      <c r="H88" s="6">
        <v>6</v>
      </c>
      <c r="I88" s="8">
        <f t="shared" si="10"/>
        <v>1</v>
      </c>
      <c r="J88" s="6">
        <f t="shared" si="12"/>
        <v>4</v>
      </c>
      <c r="K88" s="5"/>
      <c r="L88" s="5"/>
      <c r="M88" s="5"/>
    </row>
    <row r="89" spans="1:13" hidden="1" x14ac:dyDescent="0.3">
      <c r="A89" s="5" t="s">
        <v>162</v>
      </c>
      <c r="B89" s="5" t="s">
        <v>160</v>
      </c>
      <c r="C89" s="5">
        <v>4</v>
      </c>
      <c r="D89" s="6">
        <v>3627.3661346200001</v>
      </c>
      <c r="E89" s="7">
        <f t="shared" si="11"/>
        <v>14509.464538480001</v>
      </c>
      <c r="F89" s="5" t="s">
        <v>163</v>
      </c>
      <c r="G89" s="5" t="s">
        <v>9</v>
      </c>
      <c r="H89" s="6">
        <v>4</v>
      </c>
      <c r="I89" s="8">
        <f t="shared" si="10"/>
        <v>0.66666666666666663</v>
      </c>
      <c r="J89" s="6">
        <f t="shared" si="12"/>
        <v>6</v>
      </c>
      <c r="K89" s="5"/>
      <c r="L89" s="5"/>
      <c r="M89" s="5"/>
    </row>
    <row r="90" spans="1:13" hidden="1" x14ac:dyDescent="0.3">
      <c r="A90" s="9" t="s">
        <v>162</v>
      </c>
      <c r="B90" s="9" t="s">
        <v>160</v>
      </c>
      <c r="C90" s="9">
        <f>3+21-4</f>
        <v>20</v>
      </c>
      <c r="D90" s="10">
        <v>3627.3661346200001</v>
      </c>
      <c r="E90" s="11">
        <f t="shared" si="11"/>
        <v>72547.322692400005</v>
      </c>
      <c r="F90" s="9" t="s">
        <v>163</v>
      </c>
      <c r="G90" s="9" t="s">
        <v>9</v>
      </c>
      <c r="H90" s="10">
        <v>4</v>
      </c>
      <c r="I90" s="12">
        <f t="shared" si="10"/>
        <v>0.66666666666666663</v>
      </c>
      <c r="J90" s="10">
        <f t="shared" si="12"/>
        <v>30</v>
      </c>
      <c r="K90" s="9"/>
      <c r="L90" s="9"/>
      <c r="M90" s="9"/>
    </row>
    <row r="91" spans="1:13" hidden="1" x14ac:dyDescent="0.3">
      <c r="A91" s="5" t="s">
        <v>164</v>
      </c>
      <c r="B91" s="5" t="s">
        <v>165</v>
      </c>
      <c r="C91" s="5">
        <v>9</v>
      </c>
      <c r="D91" s="6">
        <v>6431.3237754399997</v>
      </c>
      <c r="E91" s="7">
        <f t="shared" si="11"/>
        <v>57881.913978960001</v>
      </c>
      <c r="F91" s="5" t="s">
        <v>166</v>
      </c>
      <c r="G91" s="5" t="s">
        <v>9</v>
      </c>
      <c r="H91" s="6">
        <v>75</v>
      </c>
      <c r="I91" s="8">
        <f t="shared" si="10"/>
        <v>12.5</v>
      </c>
      <c r="J91" s="6">
        <f t="shared" si="12"/>
        <v>0.72</v>
      </c>
      <c r="K91" s="5"/>
      <c r="L91" s="5"/>
      <c r="M91" s="5"/>
    </row>
    <row r="92" spans="1:13" hidden="1" x14ac:dyDescent="0.3">
      <c r="A92" s="5" t="s">
        <v>167</v>
      </c>
      <c r="B92" s="5" t="s">
        <v>165</v>
      </c>
      <c r="C92" s="5">
        <v>1</v>
      </c>
      <c r="D92" s="6">
        <v>5933.15639216</v>
      </c>
      <c r="E92" s="7">
        <f t="shared" si="11"/>
        <v>5933.15639216</v>
      </c>
      <c r="F92" s="5" t="s">
        <v>168</v>
      </c>
      <c r="G92" s="5" t="s">
        <v>9</v>
      </c>
      <c r="H92" s="6">
        <v>43</v>
      </c>
      <c r="I92" s="8">
        <f t="shared" si="10"/>
        <v>7.166666666666667</v>
      </c>
      <c r="J92" s="6">
        <f t="shared" si="12"/>
        <v>0.13953488372093023</v>
      </c>
      <c r="K92" s="5"/>
      <c r="L92" s="5"/>
      <c r="M92" s="5"/>
    </row>
    <row r="93" spans="1:13" hidden="1" x14ac:dyDescent="0.3">
      <c r="A93" s="5" t="s">
        <v>169</v>
      </c>
      <c r="B93" s="5" t="s">
        <v>165</v>
      </c>
      <c r="C93" s="5">
        <v>10</v>
      </c>
      <c r="D93" s="6">
        <v>2257.6467059699999</v>
      </c>
      <c r="E93" s="7">
        <f t="shared" si="11"/>
        <v>22576.4670597</v>
      </c>
      <c r="F93" s="5" t="s">
        <v>170</v>
      </c>
      <c r="G93" s="5" t="s">
        <v>9</v>
      </c>
      <c r="H93" s="6">
        <v>13</v>
      </c>
      <c r="I93" s="8">
        <f t="shared" si="10"/>
        <v>2.1666666666666665</v>
      </c>
      <c r="J93" s="6">
        <f t="shared" si="12"/>
        <v>4.6153846153846159</v>
      </c>
      <c r="K93" s="5"/>
      <c r="L93" s="5"/>
      <c r="M93" s="5"/>
    </row>
    <row r="94" spans="1:13" hidden="1" x14ac:dyDescent="0.3">
      <c r="A94" s="5" t="s">
        <v>171</v>
      </c>
      <c r="B94" s="5" t="s">
        <v>165</v>
      </c>
      <c r="C94" s="5">
        <v>1</v>
      </c>
      <c r="D94" s="6">
        <v>7089.7687999999998</v>
      </c>
      <c r="E94" s="7">
        <f t="shared" si="11"/>
        <v>7089.7687999999998</v>
      </c>
      <c r="F94" s="5" t="s">
        <v>172</v>
      </c>
      <c r="G94" s="5" t="s">
        <v>9</v>
      </c>
      <c r="H94" s="6">
        <v>1</v>
      </c>
      <c r="I94" s="8">
        <f t="shared" si="10"/>
        <v>0.16666666666666666</v>
      </c>
      <c r="J94" s="6">
        <f t="shared" si="12"/>
        <v>6</v>
      </c>
      <c r="K94" s="5"/>
      <c r="L94" s="5"/>
      <c r="M94" s="5"/>
    </row>
    <row r="95" spans="1:13" hidden="1" x14ac:dyDescent="0.3">
      <c r="A95" s="9" t="s">
        <v>171</v>
      </c>
      <c r="B95" s="9" t="s">
        <v>165</v>
      </c>
      <c r="C95" s="9">
        <f>4-1</f>
        <v>3</v>
      </c>
      <c r="D95" s="10">
        <v>7089.7687999999998</v>
      </c>
      <c r="E95" s="11">
        <f t="shared" si="11"/>
        <v>21269.306400000001</v>
      </c>
      <c r="F95" s="9" t="s">
        <v>172</v>
      </c>
      <c r="G95" s="9" t="s">
        <v>9</v>
      </c>
      <c r="H95" s="10">
        <v>1</v>
      </c>
      <c r="I95" s="12">
        <f t="shared" si="10"/>
        <v>0.16666666666666666</v>
      </c>
      <c r="J95" s="10">
        <f t="shared" si="12"/>
        <v>18</v>
      </c>
      <c r="K95" s="9"/>
      <c r="L95" s="9"/>
      <c r="M95" s="9"/>
    </row>
    <row r="96" spans="1:13" hidden="1" x14ac:dyDescent="0.3">
      <c r="A96" s="5" t="s">
        <v>173</v>
      </c>
      <c r="B96" s="5" t="s">
        <v>165</v>
      </c>
      <c r="C96" s="5">
        <v>1</v>
      </c>
      <c r="D96" s="6">
        <v>753.63078571000005</v>
      </c>
      <c r="E96" s="7">
        <f t="shared" si="11"/>
        <v>753.63078571000005</v>
      </c>
      <c r="F96" s="5" t="s">
        <v>174</v>
      </c>
      <c r="G96" s="5" t="s">
        <v>9</v>
      </c>
      <c r="H96" s="6">
        <v>4</v>
      </c>
      <c r="I96" s="8">
        <f t="shared" si="10"/>
        <v>0.66666666666666663</v>
      </c>
      <c r="J96" s="6">
        <f t="shared" si="12"/>
        <v>1.5</v>
      </c>
      <c r="K96" s="5"/>
      <c r="L96" s="5"/>
      <c r="M96" s="5"/>
    </row>
    <row r="97" spans="1:13" hidden="1" x14ac:dyDescent="0.3">
      <c r="A97" s="5" t="s">
        <v>175</v>
      </c>
      <c r="B97" s="5" t="s">
        <v>176</v>
      </c>
      <c r="C97" s="5">
        <v>1</v>
      </c>
      <c r="D97" s="6">
        <v>97.69</v>
      </c>
      <c r="E97" s="7">
        <f t="shared" si="11"/>
        <v>97.69</v>
      </c>
      <c r="F97" s="5" t="s">
        <v>177</v>
      </c>
      <c r="G97" s="5" t="s">
        <v>9</v>
      </c>
      <c r="H97" s="6">
        <v>9</v>
      </c>
      <c r="I97" s="8">
        <f t="shared" si="10"/>
        <v>1.5</v>
      </c>
      <c r="J97" s="6">
        <f t="shared" si="12"/>
        <v>0.66666666666666663</v>
      </c>
      <c r="K97" s="5"/>
      <c r="L97" s="5"/>
      <c r="M97" s="5"/>
    </row>
    <row r="98" spans="1:13" hidden="1" x14ac:dyDescent="0.3">
      <c r="A98" s="5" t="s">
        <v>178</v>
      </c>
      <c r="B98" s="5" t="s">
        <v>176</v>
      </c>
      <c r="C98" s="5">
        <v>7</v>
      </c>
      <c r="D98" s="6">
        <v>20.93</v>
      </c>
      <c r="E98" s="7">
        <f t="shared" si="11"/>
        <v>146.51</v>
      </c>
      <c r="F98" s="5" t="s">
        <v>179</v>
      </c>
      <c r="G98" s="5" t="s">
        <v>9</v>
      </c>
      <c r="H98" s="6">
        <v>4</v>
      </c>
      <c r="I98" s="8">
        <f t="shared" si="10"/>
        <v>0.66666666666666663</v>
      </c>
      <c r="J98" s="6">
        <f t="shared" si="12"/>
        <v>10.5</v>
      </c>
      <c r="K98" s="5"/>
      <c r="L98" s="5"/>
      <c r="M98" s="5"/>
    </row>
    <row r="99" spans="1:13" hidden="1" x14ac:dyDescent="0.3">
      <c r="A99" s="13" t="s">
        <v>180</v>
      </c>
      <c r="B99" s="13" t="s">
        <v>176</v>
      </c>
      <c r="C99" s="13">
        <v>13</v>
      </c>
      <c r="D99" s="14">
        <v>57.758600000000001</v>
      </c>
      <c r="E99" s="15">
        <f t="shared" si="11"/>
        <v>750.86180000000002</v>
      </c>
      <c r="F99" s="13" t="s">
        <v>181</v>
      </c>
      <c r="G99" s="13" t="s">
        <v>9</v>
      </c>
      <c r="H99" s="14">
        <v>0</v>
      </c>
      <c r="I99" s="16">
        <f t="shared" si="10"/>
        <v>0</v>
      </c>
      <c r="J99" s="14" t="e">
        <f t="shared" si="12"/>
        <v>#DIV/0!</v>
      </c>
      <c r="K99" s="13"/>
      <c r="L99" s="13"/>
      <c r="M99" s="13"/>
    </row>
    <row r="100" spans="1:13" hidden="1" x14ac:dyDescent="0.3">
      <c r="A100" s="5" t="s">
        <v>182</v>
      </c>
      <c r="B100" s="5" t="s">
        <v>183</v>
      </c>
      <c r="C100" s="5">
        <v>9</v>
      </c>
      <c r="D100" s="6">
        <v>961.35537778000003</v>
      </c>
      <c r="E100" s="7">
        <f t="shared" si="11"/>
        <v>8652.1984000200009</v>
      </c>
      <c r="F100" s="5" t="s">
        <v>184</v>
      </c>
      <c r="G100" s="5" t="s">
        <v>9</v>
      </c>
      <c r="H100" s="6">
        <v>12</v>
      </c>
      <c r="I100" s="8">
        <f t="shared" si="10"/>
        <v>2</v>
      </c>
      <c r="J100" s="6">
        <f t="shared" si="12"/>
        <v>4.5</v>
      </c>
      <c r="K100" s="5"/>
      <c r="L100" s="5"/>
      <c r="M100" s="5"/>
    </row>
    <row r="101" spans="1:13" hidden="1" x14ac:dyDescent="0.3">
      <c r="A101" s="5" t="s">
        <v>185</v>
      </c>
      <c r="B101" s="5" t="s">
        <v>183</v>
      </c>
      <c r="C101" s="5">
        <v>9</v>
      </c>
      <c r="D101" s="6">
        <v>1129.3060515100001</v>
      </c>
      <c r="E101" s="7">
        <f t="shared" si="11"/>
        <v>10163.754463590001</v>
      </c>
      <c r="F101" s="5" t="s">
        <v>186</v>
      </c>
      <c r="G101" s="5" t="s">
        <v>9</v>
      </c>
      <c r="H101" s="6">
        <v>12</v>
      </c>
      <c r="I101" s="8">
        <f t="shared" si="10"/>
        <v>2</v>
      </c>
      <c r="J101" s="6">
        <f t="shared" si="12"/>
        <v>4.5</v>
      </c>
      <c r="K101" s="5"/>
      <c r="L101" s="5"/>
      <c r="M101" s="5"/>
    </row>
    <row r="102" spans="1:13" hidden="1" x14ac:dyDescent="0.3">
      <c r="A102" s="13" t="s">
        <v>187</v>
      </c>
      <c r="B102" s="13" t="s">
        <v>183</v>
      </c>
      <c r="C102" s="13">
        <v>1</v>
      </c>
      <c r="D102" s="14">
        <v>1621.587</v>
      </c>
      <c r="E102" s="15">
        <f t="shared" si="11"/>
        <v>1621.587</v>
      </c>
      <c r="F102" s="13" t="s">
        <v>188</v>
      </c>
      <c r="G102" s="13" t="s">
        <v>9</v>
      </c>
      <c r="H102" s="14">
        <v>0</v>
      </c>
      <c r="I102" s="16">
        <f t="shared" si="10"/>
        <v>0</v>
      </c>
      <c r="J102" s="14" t="e">
        <f t="shared" si="12"/>
        <v>#DIV/0!</v>
      </c>
      <c r="K102" s="13"/>
      <c r="L102" s="13"/>
      <c r="M102" s="13"/>
    </row>
    <row r="103" spans="1:13" hidden="1" x14ac:dyDescent="0.3">
      <c r="A103" s="13" t="s">
        <v>189</v>
      </c>
      <c r="B103" s="13" t="s">
        <v>183</v>
      </c>
      <c r="C103" s="13">
        <v>19</v>
      </c>
      <c r="D103" s="14">
        <v>1657.8148000000001</v>
      </c>
      <c r="E103" s="15">
        <f t="shared" si="11"/>
        <v>31498.481200000002</v>
      </c>
      <c r="F103" s="13" t="s">
        <v>190</v>
      </c>
      <c r="G103" s="13" t="s">
        <v>9</v>
      </c>
      <c r="H103" s="14">
        <v>1</v>
      </c>
      <c r="I103" s="16">
        <f t="shared" ref="I103:I134" si="13">+H103/6</f>
        <v>0.16666666666666666</v>
      </c>
      <c r="J103" s="14">
        <f t="shared" si="12"/>
        <v>114</v>
      </c>
      <c r="K103" s="13"/>
      <c r="L103" s="13"/>
      <c r="M103" s="13"/>
    </row>
    <row r="104" spans="1:13" hidden="1" x14ac:dyDescent="0.3">
      <c r="A104" s="5" t="s">
        <v>191</v>
      </c>
      <c r="B104" s="5" t="s">
        <v>183</v>
      </c>
      <c r="C104" s="5">
        <v>1</v>
      </c>
      <c r="D104" s="6">
        <v>1595.66</v>
      </c>
      <c r="E104" s="7">
        <f t="shared" si="11"/>
        <v>1595.66</v>
      </c>
      <c r="F104" s="5" t="s">
        <v>192</v>
      </c>
      <c r="G104" s="5" t="s">
        <v>9</v>
      </c>
      <c r="H104" s="6">
        <v>8</v>
      </c>
      <c r="I104" s="8">
        <f t="shared" si="13"/>
        <v>1.3333333333333333</v>
      </c>
      <c r="J104" s="6">
        <f t="shared" si="12"/>
        <v>0.75</v>
      </c>
      <c r="K104" s="5"/>
      <c r="L104" s="5"/>
      <c r="M104" s="5"/>
    </row>
    <row r="105" spans="1:13" hidden="1" x14ac:dyDescent="0.3">
      <c r="A105" s="5" t="s">
        <v>193</v>
      </c>
      <c r="B105" s="5" t="s">
        <v>183</v>
      </c>
      <c r="C105" s="5">
        <v>1</v>
      </c>
      <c r="D105" s="6">
        <v>1612.116</v>
      </c>
      <c r="E105" s="7">
        <f t="shared" si="11"/>
        <v>1612.116</v>
      </c>
      <c r="F105" s="5" t="s">
        <v>194</v>
      </c>
      <c r="G105" s="5" t="s">
        <v>9</v>
      </c>
      <c r="H105" s="6">
        <v>3</v>
      </c>
      <c r="I105" s="8">
        <f t="shared" si="13"/>
        <v>0.5</v>
      </c>
      <c r="J105" s="6">
        <f t="shared" si="12"/>
        <v>2</v>
      </c>
      <c r="K105" s="5"/>
      <c r="L105" s="5"/>
      <c r="M105" s="5"/>
    </row>
    <row r="106" spans="1:13" hidden="1" x14ac:dyDescent="0.3">
      <c r="A106" s="13" t="s">
        <v>195</v>
      </c>
      <c r="B106" s="13" t="s">
        <v>183</v>
      </c>
      <c r="C106" s="13">
        <v>11</v>
      </c>
      <c r="D106" s="14">
        <v>4806.5749666700003</v>
      </c>
      <c r="E106" s="15">
        <f t="shared" si="11"/>
        <v>52872.324633370001</v>
      </c>
      <c r="F106" s="13" t="s">
        <v>196</v>
      </c>
      <c r="G106" s="13" t="s">
        <v>9</v>
      </c>
      <c r="H106" s="14">
        <v>0</v>
      </c>
      <c r="I106" s="16">
        <f t="shared" si="13"/>
        <v>0</v>
      </c>
      <c r="J106" s="14" t="e">
        <f t="shared" si="12"/>
        <v>#DIV/0!</v>
      </c>
      <c r="K106" s="13"/>
      <c r="L106" s="13"/>
      <c r="M106" s="13"/>
    </row>
    <row r="107" spans="1:13" hidden="1" x14ac:dyDescent="0.3">
      <c r="A107" s="13" t="s">
        <v>197</v>
      </c>
      <c r="B107" s="13" t="s">
        <v>183</v>
      </c>
      <c r="C107" s="13">
        <v>5</v>
      </c>
      <c r="D107" s="14">
        <v>3966.4323333299999</v>
      </c>
      <c r="E107" s="15">
        <f t="shared" si="11"/>
        <v>19832.161666649998</v>
      </c>
      <c r="F107" s="13" t="s">
        <v>198</v>
      </c>
      <c r="G107" s="13" t="s">
        <v>9</v>
      </c>
      <c r="H107" s="14">
        <v>1</v>
      </c>
      <c r="I107" s="16">
        <f t="shared" si="13"/>
        <v>0.16666666666666666</v>
      </c>
      <c r="J107" s="14">
        <f t="shared" si="12"/>
        <v>30</v>
      </c>
      <c r="K107" s="13"/>
      <c r="L107" s="13"/>
      <c r="M107" s="13"/>
    </row>
    <row r="108" spans="1:13" hidden="1" x14ac:dyDescent="0.3">
      <c r="A108" s="5" t="s">
        <v>199</v>
      </c>
      <c r="B108" s="5" t="s">
        <v>183</v>
      </c>
      <c r="C108" s="5">
        <v>3</v>
      </c>
      <c r="D108" s="6">
        <v>11223.1672</v>
      </c>
      <c r="E108" s="7">
        <f t="shared" si="11"/>
        <v>33669.501600000003</v>
      </c>
      <c r="F108" s="5" t="s">
        <v>200</v>
      </c>
      <c r="G108" s="5" t="s">
        <v>9</v>
      </c>
      <c r="H108" s="6">
        <v>5</v>
      </c>
      <c r="I108" s="8">
        <f t="shared" si="13"/>
        <v>0.83333333333333337</v>
      </c>
      <c r="J108" s="6">
        <f t="shared" si="12"/>
        <v>3.5999999999999996</v>
      </c>
      <c r="K108" s="5"/>
      <c r="L108" s="5"/>
      <c r="M108" s="5"/>
    </row>
    <row r="109" spans="1:13" hidden="1" x14ac:dyDescent="0.3">
      <c r="A109" s="5" t="s">
        <v>201</v>
      </c>
      <c r="B109" s="5" t="s">
        <v>183</v>
      </c>
      <c r="C109" s="5">
        <v>1</v>
      </c>
      <c r="D109" s="6">
        <v>15186.766100000001</v>
      </c>
      <c r="E109" s="7">
        <f t="shared" si="11"/>
        <v>15186.766100000001</v>
      </c>
      <c r="F109" s="5" t="s">
        <v>202</v>
      </c>
      <c r="G109" s="5" t="s">
        <v>9</v>
      </c>
      <c r="H109" s="6">
        <v>4</v>
      </c>
      <c r="I109" s="8">
        <f t="shared" si="13"/>
        <v>0.66666666666666663</v>
      </c>
      <c r="J109" s="6">
        <f t="shared" si="12"/>
        <v>1.5</v>
      </c>
      <c r="K109" s="5"/>
      <c r="L109" s="5"/>
      <c r="M109" s="5"/>
    </row>
    <row r="110" spans="1:13" hidden="1" x14ac:dyDescent="0.3">
      <c r="A110" s="13" t="s">
        <v>203</v>
      </c>
      <c r="B110" s="13" t="s">
        <v>183</v>
      </c>
      <c r="C110" s="13">
        <v>19</v>
      </c>
      <c r="D110" s="14">
        <v>7329.3846999999996</v>
      </c>
      <c r="E110" s="15">
        <f t="shared" si="11"/>
        <v>139258.30929999999</v>
      </c>
      <c r="F110" s="13" t="s">
        <v>204</v>
      </c>
      <c r="G110" s="13" t="s">
        <v>9</v>
      </c>
      <c r="H110" s="14">
        <v>1</v>
      </c>
      <c r="I110" s="16">
        <f t="shared" si="13"/>
        <v>0.16666666666666666</v>
      </c>
      <c r="J110" s="14">
        <f t="shared" si="12"/>
        <v>114</v>
      </c>
      <c r="K110" s="13"/>
      <c r="L110" s="13"/>
      <c r="M110" s="13"/>
    </row>
    <row r="111" spans="1:13" hidden="1" x14ac:dyDescent="0.3">
      <c r="A111" s="5" t="s">
        <v>205</v>
      </c>
      <c r="B111" s="5" t="s">
        <v>183</v>
      </c>
      <c r="C111" s="5">
        <v>9</v>
      </c>
      <c r="D111" s="6">
        <v>942.83199999999999</v>
      </c>
      <c r="E111" s="7">
        <f t="shared" si="11"/>
        <v>8485.4879999999994</v>
      </c>
      <c r="F111" s="5" t="s">
        <v>206</v>
      </c>
      <c r="G111" s="5" t="s">
        <v>9</v>
      </c>
      <c r="H111" s="6">
        <v>13</v>
      </c>
      <c r="I111" s="8">
        <f t="shared" si="13"/>
        <v>2.1666666666666665</v>
      </c>
      <c r="J111" s="6">
        <f t="shared" si="12"/>
        <v>4.1538461538461542</v>
      </c>
      <c r="K111" s="5"/>
      <c r="L111" s="5"/>
      <c r="M111" s="5"/>
    </row>
    <row r="112" spans="1:13" hidden="1" x14ac:dyDescent="0.3">
      <c r="A112" s="13" t="s">
        <v>207</v>
      </c>
      <c r="B112" s="13" t="s">
        <v>183</v>
      </c>
      <c r="C112" s="13">
        <v>3</v>
      </c>
      <c r="D112" s="14">
        <v>14381.364149999999</v>
      </c>
      <c r="E112" s="15">
        <f t="shared" si="11"/>
        <v>43144.092449999996</v>
      </c>
      <c r="F112" s="13" t="s">
        <v>208</v>
      </c>
      <c r="G112" s="13" t="s">
        <v>9</v>
      </c>
      <c r="H112" s="14">
        <v>0</v>
      </c>
      <c r="I112" s="16">
        <f t="shared" si="13"/>
        <v>0</v>
      </c>
      <c r="J112" s="14" t="e">
        <f t="shared" si="12"/>
        <v>#DIV/0!</v>
      </c>
      <c r="K112" s="13"/>
      <c r="L112" s="13"/>
      <c r="M112" s="13"/>
    </row>
    <row r="113" spans="1:13" hidden="1" x14ac:dyDescent="0.3">
      <c r="A113" s="5" t="s">
        <v>209</v>
      </c>
      <c r="B113" s="5" t="s">
        <v>183</v>
      </c>
      <c r="C113" s="5">
        <v>7</v>
      </c>
      <c r="D113" s="6">
        <v>2459.1465499999999</v>
      </c>
      <c r="E113" s="7">
        <f t="shared" si="11"/>
        <v>17214.025849999998</v>
      </c>
      <c r="F113" s="5" t="s">
        <v>210</v>
      </c>
      <c r="G113" s="5" t="s">
        <v>9</v>
      </c>
      <c r="H113" s="6">
        <v>7</v>
      </c>
      <c r="I113" s="8">
        <f t="shared" si="13"/>
        <v>1.1666666666666667</v>
      </c>
      <c r="J113" s="6">
        <f t="shared" si="12"/>
        <v>6</v>
      </c>
      <c r="K113" s="5"/>
      <c r="L113" s="5"/>
      <c r="M113" s="5"/>
    </row>
    <row r="114" spans="1:13" hidden="1" x14ac:dyDescent="0.3">
      <c r="A114" s="9" t="s">
        <v>209</v>
      </c>
      <c r="B114" s="9" t="s">
        <v>183</v>
      </c>
      <c r="C114" s="9">
        <f>12-7</f>
        <v>5</v>
      </c>
      <c r="D114" s="10">
        <v>2459.1465499999999</v>
      </c>
      <c r="E114" s="11">
        <f t="shared" si="11"/>
        <v>12295.732749999999</v>
      </c>
      <c r="F114" s="9" t="s">
        <v>210</v>
      </c>
      <c r="G114" s="9" t="s">
        <v>9</v>
      </c>
      <c r="H114" s="10">
        <v>7</v>
      </c>
      <c r="I114" s="12">
        <f t="shared" si="13"/>
        <v>1.1666666666666667</v>
      </c>
      <c r="J114" s="10">
        <f t="shared" si="12"/>
        <v>4.2857142857142856</v>
      </c>
      <c r="K114" s="9"/>
      <c r="L114" s="9"/>
      <c r="M114" s="9"/>
    </row>
    <row r="115" spans="1:13" hidden="1" x14ac:dyDescent="0.3">
      <c r="A115" s="13" t="s">
        <v>211</v>
      </c>
      <c r="B115" s="13" t="s">
        <v>183</v>
      </c>
      <c r="C115" s="13">
        <v>2</v>
      </c>
      <c r="D115" s="14">
        <v>5499.8371999999999</v>
      </c>
      <c r="E115" s="15">
        <f t="shared" si="11"/>
        <v>10999.6744</v>
      </c>
      <c r="F115" s="13" t="s">
        <v>212</v>
      </c>
      <c r="G115" s="13" t="s">
        <v>9</v>
      </c>
      <c r="H115" s="14">
        <v>0</v>
      </c>
      <c r="I115" s="16">
        <f t="shared" si="13"/>
        <v>0</v>
      </c>
      <c r="J115" s="14" t="e">
        <f t="shared" si="12"/>
        <v>#DIV/0!</v>
      </c>
      <c r="K115" s="13"/>
      <c r="L115" s="13"/>
      <c r="M115" s="13"/>
    </row>
    <row r="116" spans="1:13" hidden="1" x14ac:dyDescent="0.3">
      <c r="A116" s="13" t="s">
        <v>213</v>
      </c>
      <c r="B116" s="13" t="s">
        <v>183</v>
      </c>
      <c r="C116" s="13">
        <v>4</v>
      </c>
      <c r="D116" s="14">
        <v>5553.3927999999996</v>
      </c>
      <c r="E116" s="15">
        <f t="shared" si="11"/>
        <v>22213.571199999998</v>
      </c>
      <c r="F116" s="13" t="s">
        <v>214</v>
      </c>
      <c r="G116" s="13" t="s">
        <v>9</v>
      </c>
      <c r="H116" s="14">
        <v>0</v>
      </c>
      <c r="I116" s="16">
        <f t="shared" si="13"/>
        <v>0</v>
      </c>
      <c r="J116" s="14" t="e">
        <f t="shared" si="12"/>
        <v>#DIV/0!</v>
      </c>
      <c r="K116" s="13"/>
      <c r="L116" s="13"/>
      <c r="M116" s="13"/>
    </row>
    <row r="117" spans="1:13" hidden="1" x14ac:dyDescent="0.3">
      <c r="A117" s="5" t="s">
        <v>215</v>
      </c>
      <c r="B117" s="5" t="s">
        <v>183</v>
      </c>
      <c r="C117" s="5">
        <v>2</v>
      </c>
      <c r="D117" s="6">
        <v>10867.155345450001</v>
      </c>
      <c r="E117" s="7">
        <f t="shared" si="11"/>
        <v>21734.310690900002</v>
      </c>
      <c r="F117" s="5" t="s">
        <v>216</v>
      </c>
      <c r="G117" s="5" t="s">
        <v>9</v>
      </c>
      <c r="H117" s="6">
        <v>6</v>
      </c>
      <c r="I117" s="8">
        <f t="shared" si="13"/>
        <v>1</v>
      </c>
      <c r="J117" s="6">
        <f t="shared" si="12"/>
        <v>2</v>
      </c>
      <c r="K117" s="5"/>
      <c r="L117" s="5"/>
      <c r="M117" s="5"/>
    </row>
    <row r="118" spans="1:13" hidden="1" x14ac:dyDescent="0.3">
      <c r="A118" s="5" t="s">
        <v>217</v>
      </c>
      <c r="B118" s="5" t="s">
        <v>183</v>
      </c>
      <c r="C118" s="5">
        <v>2</v>
      </c>
      <c r="D118" s="6">
        <v>14854.32</v>
      </c>
      <c r="E118" s="7">
        <f t="shared" si="11"/>
        <v>29708.639999999999</v>
      </c>
      <c r="F118" s="5" t="s">
        <v>218</v>
      </c>
      <c r="G118" s="5" t="s">
        <v>9</v>
      </c>
      <c r="H118" s="6">
        <v>3</v>
      </c>
      <c r="I118" s="8">
        <f t="shared" si="13"/>
        <v>0.5</v>
      </c>
      <c r="J118" s="6">
        <f t="shared" si="12"/>
        <v>4</v>
      </c>
      <c r="K118" s="5"/>
      <c r="L118" s="5"/>
      <c r="M118" s="5"/>
    </row>
    <row r="119" spans="1:13" hidden="1" x14ac:dyDescent="0.3">
      <c r="A119" s="13" t="s">
        <v>219</v>
      </c>
      <c r="B119" s="13" t="s">
        <v>183</v>
      </c>
      <c r="C119" s="13">
        <v>1</v>
      </c>
      <c r="D119" s="14">
        <v>17139.599999999999</v>
      </c>
      <c r="E119" s="15">
        <f t="shared" si="11"/>
        <v>17139.599999999999</v>
      </c>
      <c r="F119" s="13" t="s">
        <v>220</v>
      </c>
      <c r="G119" s="13" t="s">
        <v>9</v>
      </c>
      <c r="H119" s="14">
        <v>0</v>
      </c>
      <c r="I119" s="16">
        <f t="shared" si="13"/>
        <v>0</v>
      </c>
      <c r="J119" s="14" t="e">
        <f t="shared" si="12"/>
        <v>#DIV/0!</v>
      </c>
      <c r="K119" s="13"/>
      <c r="L119" s="13"/>
      <c r="M119" s="13"/>
    </row>
    <row r="120" spans="1:13" hidden="1" x14ac:dyDescent="0.3">
      <c r="A120" s="5" t="s">
        <v>221</v>
      </c>
      <c r="B120" s="5" t="s">
        <v>183</v>
      </c>
      <c r="C120" s="5">
        <v>2</v>
      </c>
      <c r="D120" s="6">
        <v>6568.9380000000001</v>
      </c>
      <c r="E120" s="7">
        <f t="shared" si="11"/>
        <v>13137.876</v>
      </c>
      <c r="F120" s="5" t="s">
        <v>222</v>
      </c>
      <c r="G120" s="5" t="s">
        <v>9</v>
      </c>
      <c r="H120" s="6">
        <v>6</v>
      </c>
      <c r="I120" s="8">
        <f t="shared" si="13"/>
        <v>1</v>
      </c>
      <c r="J120" s="6">
        <f t="shared" si="12"/>
        <v>2</v>
      </c>
      <c r="K120" s="5"/>
      <c r="L120" s="5"/>
      <c r="M120" s="5"/>
    </row>
    <row r="121" spans="1:13" hidden="1" x14ac:dyDescent="0.3">
      <c r="A121" s="5" t="s">
        <v>223</v>
      </c>
      <c r="B121" s="5" t="s">
        <v>183</v>
      </c>
      <c r="C121" s="5">
        <v>2</v>
      </c>
      <c r="D121" s="6">
        <v>6568.9380000000001</v>
      </c>
      <c r="E121" s="7">
        <f t="shared" si="11"/>
        <v>13137.876</v>
      </c>
      <c r="F121" s="5" t="s">
        <v>224</v>
      </c>
      <c r="G121" s="5" t="s">
        <v>9</v>
      </c>
      <c r="H121" s="6">
        <v>2</v>
      </c>
      <c r="I121" s="8">
        <f t="shared" si="13"/>
        <v>0.33333333333333331</v>
      </c>
      <c r="J121" s="6">
        <f t="shared" si="12"/>
        <v>6</v>
      </c>
      <c r="K121" s="5"/>
      <c r="L121" s="5"/>
      <c r="M121" s="5"/>
    </row>
    <row r="122" spans="1:13" hidden="1" x14ac:dyDescent="0.3">
      <c r="A122" s="9" t="s">
        <v>223</v>
      </c>
      <c r="B122" s="9" t="s">
        <v>183</v>
      </c>
      <c r="C122" s="9">
        <f>4-2</f>
        <v>2</v>
      </c>
      <c r="D122" s="10">
        <v>6568.9380000000001</v>
      </c>
      <c r="E122" s="11">
        <f t="shared" si="11"/>
        <v>13137.876</v>
      </c>
      <c r="F122" s="9" t="s">
        <v>224</v>
      </c>
      <c r="G122" s="9" t="s">
        <v>9</v>
      </c>
      <c r="H122" s="10">
        <v>2</v>
      </c>
      <c r="I122" s="12">
        <f t="shared" si="13"/>
        <v>0.33333333333333331</v>
      </c>
      <c r="J122" s="10">
        <f t="shared" si="12"/>
        <v>6</v>
      </c>
      <c r="K122" s="9"/>
      <c r="L122" s="9"/>
      <c r="M122" s="9"/>
    </row>
    <row r="123" spans="1:13" hidden="1" x14ac:dyDescent="0.3">
      <c r="A123" s="13" t="s">
        <v>225</v>
      </c>
      <c r="B123" s="13" t="s">
        <v>183</v>
      </c>
      <c r="C123" s="13">
        <v>16</v>
      </c>
      <c r="D123" s="14">
        <v>9565.8701000000001</v>
      </c>
      <c r="E123" s="15">
        <f t="shared" si="11"/>
        <v>153053.9216</v>
      </c>
      <c r="F123" s="13" t="s">
        <v>226</v>
      </c>
      <c r="G123" s="13" t="s">
        <v>9</v>
      </c>
      <c r="H123" s="14">
        <v>1</v>
      </c>
      <c r="I123" s="16">
        <f t="shared" si="13"/>
        <v>0.16666666666666666</v>
      </c>
      <c r="J123" s="14">
        <f t="shared" si="12"/>
        <v>96</v>
      </c>
      <c r="K123" s="13"/>
      <c r="L123" s="13"/>
      <c r="M123" s="13"/>
    </row>
    <row r="124" spans="1:13" hidden="1" x14ac:dyDescent="0.3">
      <c r="A124" s="5" t="s">
        <v>227</v>
      </c>
      <c r="B124" s="5" t="s">
        <v>228</v>
      </c>
      <c r="C124" s="5">
        <f>45*5</f>
        <v>225</v>
      </c>
      <c r="D124" s="6">
        <v>101.46203444</v>
      </c>
      <c r="E124" s="7">
        <f t="shared" si="11"/>
        <v>22828.957748999997</v>
      </c>
      <c r="F124" s="5" t="s">
        <v>229</v>
      </c>
      <c r="G124" s="5" t="s">
        <v>9</v>
      </c>
      <c r="H124" s="6">
        <v>255</v>
      </c>
      <c r="I124" s="8">
        <f t="shared" si="13"/>
        <v>42.5</v>
      </c>
      <c r="J124" s="6">
        <f t="shared" si="12"/>
        <v>5.2941176470588234</v>
      </c>
      <c r="K124" s="5"/>
      <c r="L124" s="18">
        <v>46063</v>
      </c>
      <c r="M124" s="5" t="s">
        <v>680</v>
      </c>
    </row>
    <row r="125" spans="1:13" hidden="1" x14ac:dyDescent="0.3">
      <c r="A125" s="9" t="s">
        <v>227</v>
      </c>
      <c r="B125" s="9" t="s">
        <v>228</v>
      </c>
      <c r="C125" s="9">
        <f>476-225</f>
        <v>251</v>
      </c>
      <c r="D125" s="10">
        <v>101.46203444</v>
      </c>
      <c r="E125" s="11">
        <f t="shared" si="11"/>
        <v>25466.97064444</v>
      </c>
      <c r="F125" s="9" t="s">
        <v>229</v>
      </c>
      <c r="G125" s="9" t="s">
        <v>9</v>
      </c>
      <c r="H125" s="10">
        <v>255</v>
      </c>
      <c r="I125" s="12">
        <f t="shared" si="13"/>
        <v>42.5</v>
      </c>
      <c r="J125" s="10">
        <f t="shared" si="12"/>
        <v>5.9058823529411768</v>
      </c>
      <c r="K125" s="9"/>
      <c r="L125" s="17">
        <v>46063</v>
      </c>
      <c r="M125" s="9" t="s">
        <v>680</v>
      </c>
    </row>
    <row r="126" spans="1:13" hidden="1" x14ac:dyDescent="0.3">
      <c r="A126" s="5" t="s">
        <v>230</v>
      </c>
      <c r="B126" s="5" t="s">
        <v>228</v>
      </c>
      <c r="C126" s="5">
        <v>15</v>
      </c>
      <c r="D126" s="6">
        <v>48.2</v>
      </c>
      <c r="E126" s="7">
        <f t="shared" si="11"/>
        <v>723</v>
      </c>
      <c r="F126" s="5" t="s">
        <v>231</v>
      </c>
      <c r="G126" s="5" t="s">
        <v>9</v>
      </c>
      <c r="H126" s="6">
        <v>94</v>
      </c>
      <c r="I126" s="8">
        <f t="shared" si="13"/>
        <v>15.666666666666666</v>
      </c>
      <c r="J126" s="6">
        <f t="shared" si="12"/>
        <v>0.95744680851063835</v>
      </c>
      <c r="K126" s="5"/>
      <c r="L126" s="5"/>
      <c r="M126" s="5"/>
    </row>
    <row r="127" spans="1:13" hidden="1" x14ac:dyDescent="0.3">
      <c r="A127" s="5" t="s">
        <v>232</v>
      </c>
      <c r="B127" s="5" t="s">
        <v>228</v>
      </c>
      <c r="C127" s="5">
        <v>1297</v>
      </c>
      <c r="D127" s="6">
        <v>100.81997957</v>
      </c>
      <c r="E127" s="7">
        <f t="shared" si="11"/>
        <v>130763.51350229001</v>
      </c>
      <c r="F127" s="5" t="s">
        <v>233</v>
      </c>
      <c r="G127" s="5" t="s">
        <v>9</v>
      </c>
      <c r="H127" s="6">
        <v>1269</v>
      </c>
      <c r="I127" s="8">
        <f t="shared" si="13"/>
        <v>211.5</v>
      </c>
      <c r="J127" s="6">
        <f t="shared" si="12"/>
        <v>6.1323877068557922</v>
      </c>
      <c r="K127" s="5"/>
      <c r="L127" s="5"/>
      <c r="M127" s="5"/>
    </row>
    <row r="128" spans="1:13" hidden="1" x14ac:dyDescent="0.3">
      <c r="A128" s="5" t="s">
        <v>234</v>
      </c>
      <c r="B128" s="5" t="s">
        <v>228</v>
      </c>
      <c r="C128" s="5">
        <v>380</v>
      </c>
      <c r="D128" s="6">
        <v>48.072922159999997</v>
      </c>
      <c r="E128" s="7">
        <f t="shared" si="11"/>
        <v>18267.710420799998</v>
      </c>
      <c r="F128" s="5" t="s">
        <v>235</v>
      </c>
      <c r="G128" s="5" t="s">
        <v>9</v>
      </c>
      <c r="H128" s="6">
        <v>413</v>
      </c>
      <c r="I128" s="8">
        <f t="shared" si="13"/>
        <v>68.833333333333329</v>
      </c>
      <c r="J128" s="6">
        <f t="shared" si="12"/>
        <v>5.5205811138014536</v>
      </c>
      <c r="K128" s="5"/>
      <c r="L128" s="5"/>
      <c r="M128" s="5"/>
    </row>
    <row r="129" spans="1:13" hidden="1" x14ac:dyDescent="0.3">
      <c r="A129" s="9" t="s">
        <v>234</v>
      </c>
      <c r="B129" s="9" t="s">
        <v>228</v>
      </c>
      <c r="C129" s="9">
        <f>715-380</f>
        <v>335</v>
      </c>
      <c r="D129" s="10">
        <v>48.072922159999997</v>
      </c>
      <c r="E129" s="11">
        <f t="shared" si="11"/>
        <v>16104.428923599999</v>
      </c>
      <c r="F129" s="9" t="s">
        <v>235</v>
      </c>
      <c r="G129" s="9" t="s">
        <v>9</v>
      </c>
      <c r="H129" s="10">
        <v>413</v>
      </c>
      <c r="I129" s="12">
        <f t="shared" si="13"/>
        <v>68.833333333333329</v>
      </c>
      <c r="J129" s="10">
        <f t="shared" si="12"/>
        <v>4.8668280871670708</v>
      </c>
      <c r="K129" s="9"/>
      <c r="L129" s="9"/>
      <c r="M129" s="9"/>
    </row>
    <row r="130" spans="1:13" hidden="1" x14ac:dyDescent="0.3">
      <c r="A130" s="5" t="s">
        <v>236</v>
      </c>
      <c r="B130" s="5" t="s">
        <v>228</v>
      </c>
      <c r="C130" s="5">
        <v>5</v>
      </c>
      <c r="D130" s="6">
        <v>10.4</v>
      </c>
      <c r="E130" s="7">
        <f t="shared" si="11"/>
        <v>52</v>
      </c>
      <c r="F130" s="5" t="s">
        <v>237</v>
      </c>
      <c r="G130" s="5" t="s">
        <v>9</v>
      </c>
      <c r="H130" s="6">
        <v>4</v>
      </c>
      <c r="I130" s="8">
        <f t="shared" si="13"/>
        <v>0.66666666666666663</v>
      </c>
      <c r="J130" s="6">
        <f t="shared" si="12"/>
        <v>7.5</v>
      </c>
      <c r="K130" s="5"/>
      <c r="L130" s="5"/>
      <c r="M130" s="5"/>
    </row>
    <row r="131" spans="1:13" x14ac:dyDescent="0.3">
      <c r="A131" s="5" t="s">
        <v>238</v>
      </c>
      <c r="B131" s="5" t="s">
        <v>239</v>
      </c>
      <c r="C131" s="5">
        <v>15</v>
      </c>
      <c r="D131" s="6">
        <v>19493.41</v>
      </c>
      <c r="E131" s="7">
        <f t="shared" si="11"/>
        <v>292401.15000000002</v>
      </c>
      <c r="F131" s="5" t="s">
        <v>240</v>
      </c>
      <c r="G131" s="5" t="s">
        <v>9</v>
      </c>
      <c r="H131" s="6">
        <f>2+15</f>
        <v>17</v>
      </c>
      <c r="I131" s="8">
        <f t="shared" si="13"/>
        <v>2.8333333333333335</v>
      </c>
      <c r="J131" s="6">
        <f t="shared" si="12"/>
        <v>5.2941176470588234</v>
      </c>
      <c r="K131" s="5"/>
      <c r="L131" s="5"/>
      <c r="M131" s="5"/>
    </row>
    <row r="132" spans="1:13" x14ac:dyDescent="0.3">
      <c r="A132" s="9" t="s">
        <v>238</v>
      </c>
      <c r="B132" s="9" t="s">
        <v>239</v>
      </c>
      <c r="C132" s="9">
        <f>1+24-15</f>
        <v>10</v>
      </c>
      <c r="D132" s="10">
        <v>19493.41</v>
      </c>
      <c r="E132" s="11">
        <f t="shared" si="11"/>
        <v>194934.1</v>
      </c>
      <c r="F132" s="9" t="s">
        <v>240</v>
      </c>
      <c r="G132" s="9" t="s">
        <v>9</v>
      </c>
      <c r="H132" s="10">
        <f>2+15</f>
        <v>17</v>
      </c>
      <c r="I132" s="12">
        <f t="shared" si="13"/>
        <v>2.8333333333333335</v>
      </c>
      <c r="J132" s="10">
        <f t="shared" si="12"/>
        <v>3.5294117647058822</v>
      </c>
      <c r="K132" s="9"/>
      <c r="L132" s="9"/>
      <c r="M132" s="9"/>
    </row>
    <row r="133" spans="1:13" hidden="1" x14ac:dyDescent="0.3">
      <c r="A133" s="5" t="s">
        <v>241</v>
      </c>
      <c r="B133" s="5" t="s">
        <v>239</v>
      </c>
      <c r="C133" s="5">
        <v>1</v>
      </c>
      <c r="D133" s="6">
        <v>20288.710599999999</v>
      </c>
      <c r="E133" s="7">
        <f t="shared" si="11"/>
        <v>20288.710599999999</v>
      </c>
      <c r="F133" s="5" t="s">
        <v>242</v>
      </c>
      <c r="G133" s="5" t="s">
        <v>9</v>
      </c>
      <c r="H133" s="6">
        <v>2</v>
      </c>
      <c r="I133" s="8">
        <f t="shared" si="13"/>
        <v>0.33333333333333331</v>
      </c>
      <c r="J133" s="6">
        <f t="shared" si="12"/>
        <v>3</v>
      </c>
      <c r="K133" s="5"/>
      <c r="L133" s="5"/>
      <c r="M133" s="5"/>
    </row>
    <row r="134" spans="1:13" hidden="1" x14ac:dyDescent="0.3">
      <c r="A134" s="9" t="s">
        <v>243</v>
      </c>
      <c r="B134" s="9" t="s">
        <v>239</v>
      </c>
      <c r="C134" s="9">
        <v>3</v>
      </c>
      <c r="D134" s="10">
        <v>13336.2585</v>
      </c>
      <c r="E134" s="11">
        <f t="shared" si="11"/>
        <v>40008.775500000003</v>
      </c>
      <c r="F134" s="9" t="s">
        <v>244</v>
      </c>
      <c r="G134" s="9" t="s">
        <v>9</v>
      </c>
      <c r="H134" s="10">
        <v>0</v>
      </c>
      <c r="I134" s="12">
        <f t="shared" si="13"/>
        <v>0</v>
      </c>
      <c r="J134" s="10" t="e">
        <f t="shared" si="12"/>
        <v>#DIV/0!</v>
      </c>
      <c r="K134" s="9"/>
      <c r="L134" s="9"/>
      <c r="M134" s="9"/>
    </row>
    <row r="135" spans="1:13" hidden="1" x14ac:dyDescent="0.3">
      <c r="A135" s="9" t="s">
        <v>245</v>
      </c>
      <c r="B135" s="9" t="s">
        <v>239</v>
      </c>
      <c r="C135" s="9">
        <v>2</v>
      </c>
      <c r="D135" s="10">
        <v>15896.837582079999</v>
      </c>
      <c r="E135" s="11">
        <f t="shared" si="11"/>
        <v>31793.675164159999</v>
      </c>
      <c r="F135" s="9" t="s">
        <v>246</v>
      </c>
      <c r="G135" s="9" t="s">
        <v>9</v>
      </c>
      <c r="H135" s="10">
        <v>11</v>
      </c>
      <c r="I135" s="12">
        <f t="shared" ref="I135" si="14">+H135/6</f>
        <v>1.8333333333333333</v>
      </c>
      <c r="J135" s="10">
        <f t="shared" si="12"/>
        <v>1.0909090909090911</v>
      </c>
      <c r="K135" s="9"/>
      <c r="L135" s="9"/>
      <c r="M135" s="9"/>
    </row>
    <row r="136" spans="1:13" hidden="1" x14ac:dyDescent="0.3">
      <c r="A136" s="5" t="s">
        <v>247</v>
      </c>
      <c r="B136" s="5" t="s">
        <v>239</v>
      </c>
      <c r="C136" s="5">
        <v>76</v>
      </c>
      <c r="D136" s="6">
        <v>23505.392199999998</v>
      </c>
      <c r="E136" s="7">
        <f t="shared" si="11"/>
        <v>1786409.8071999999</v>
      </c>
      <c r="F136" s="5" t="s">
        <v>248</v>
      </c>
      <c r="G136" s="5" t="s">
        <v>9</v>
      </c>
      <c r="H136" s="6">
        <v>74</v>
      </c>
      <c r="I136" s="8">
        <f>+H136/3</f>
        <v>24.666666666666668</v>
      </c>
      <c r="J136" s="6">
        <f t="shared" si="12"/>
        <v>3.0810810810810811</v>
      </c>
      <c r="K136" s="5"/>
      <c r="L136" s="5"/>
      <c r="M136" s="5"/>
    </row>
    <row r="137" spans="1:13" hidden="1" x14ac:dyDescent="0.3">
      <c r="A137" s="5" t="s">
        <v>249</v>
      </c>
      <c r="B137" s="5" t="s">
        <v>239</v>
      </c>
      <c r="C137" s="5">
        <v>320</v>
      </c>
      <c r="D137" s="6">
        <v>12509.537762739999</v>
      </c>
      <c r="E137" s="7">
        <f t="shared" si="11"/>
        <v>4003052.0840767999</v>
      </c>
      <c r="F137" s="5" t="s">
        <v>250</v>
      </c>
      <c r="G137" s="5" t="s">
        <v>9</v>
      </c>
      <c r="H137" s="6">
        <v>348</v>
      </c>
      <c r="I137" s="8">
        <f>+H137/6</f>
        <v>58</v>
      </c>
      <c r="J137" s="6">
        <f t="shared" si="12"/>
        <v>5.5172413793103452</v>
      </c>
      <c r="K137" s="5"/>
      <c r="L137" s="5"/>
      <c r="M137" s="5"/>
    </row>
    <row r="138" spans="1:13" hidden="1" x14ac:dyDescent="0.3">
      <c r="A138" s="9" t="s">
        <v>249</v>
      </c>
      <c r="B138" s="9" t="s">
        <v>239</v>
      </c>
      <c r="C138" s="9">
        <f>192+228-320</f>
        <v>100</v>
      </c>
      <c r="D138" s="10">
        <v>12509.537762739999</v>
      </c>
      <c r="E138" s="11">
        <f t="shared" si="11"/>
        <v>1250953.7762739998</v>
      </c>
      <c r="F138" s="9" t="s">
        <v>250</v>
      </c>
      <c r="G138" s="9" t="s">
        <v>9</v>
      </c>
      <c r="H138" s="10">
        <v>348</v>
      </c>
      <c r="I138" s="12">
        <f>+H138/6</f>
        <v>58</v>
      </c>
      <c r="J138" s="10">
        <f t="shared" si="12"/>
        <v>1.7241379310344827</v>
      </c>
      <c r="K138" s="9"/>
      <c r="L138" s="9"/>
      <c r="M138" s="9"/>
    </row>
    <row r="139" spans="1:13" hidden="1" x14ac:dyDescent="0.3">
      <c r="A139" s="9" t="s">
        <v>251</v>
      </c>
      <c r="B139" s="9" t="s">
        <v>239</v>
      </c>
      <c r="C139" s="9">
        <v>17</v>
      </c>
      <c r="D139" s="10">
        <v>840.32899091000002</v>
      </c>
      <c r="E139" s="11">
        <f t="shared" si="11"/>
        <v>14285.592845470001</v>
      </c>
      <c r="F139" s="9" t="s">
        <v>252</v>
      </c>
      <c r="G139" s="9" t="s">
        <v>9</v>
      </c>
      <c r="H139" s="10">
        <v>0</v>
      </c>
      <c r="I139" s="12">
        <f>+H139/6</f>
        <v>0</v>
      </c>
      <c r="J139" s="10" t="e">
        <f t="shared" si="12"/>
        <v>#DIV/0!</v>
      </c>
      <c r="K139" s="9"/>
      <c r="L139" s="9"/>
      <c r="M139" s="9"/>
    </row>
    <row r="140" spans="1:13" hidden="1" x14ac:dyDescent="0.3">
      <c r="A140" s="9" t="s">
        <v>253</v>
      </c>
      <c r="B140" s="9" t="s">
        <v>239</v>
      </c>
      <c r="C140" s="9">
        <v>3</v>
      </c>
      <c r="D140" s="10">
        <v>22893.73</v>
      </c>
      <c r="E140" s="11">
        <f t="shared" si="11"/>
        <v>68681.19</v>
      </c>
      <c r="F140" s="9" t="s">
        <v>254</v>
      </c>
      <c r="G140" s="9" t="s">
        <v>9</v>
      </c>
      <c r="H140" s="10">
        <v>0</v>
      </c>
      <c r="I140" s="12">
        <f>+H140/6</f>
        <v>0</v>
      </c>
      <c r="J140" s="10" t="e">
        <f t="shared" si="12"/>
        <v>#DIV/0!</v>
      </c>
      <c r="K140" s="9"/>
      <c r="L140" s="17">
        <v>45866</v>
      </c>
      <c r="M140" s="9"/>
    </row>
    <row r="141" spans="1:13" hidden="1" x14ac:dyDescent="0.3">
      <c r="A141" s="5" t="s">
        <v>255</v>
      </c>
      <c r="B141" s="5" t="s">
        <v>239</v>
      </c>
      <c r="C141" s="5">
        <v>382</v>
      </c>
      <c r="D141" s="6">
        <v>11610.30569617</v>
      </c>
      <c r="E141" s="7">
        <f t="shared" si="11"/>
        <v>4435136.7759369398</v>
      </c>
      <c r="F141" s="5" t="s">
        <v>256</v>
      </c>
      <c r="G141" s="5" t="s">
        <v>9</v>
      </c>
      <c r="H141" s="6">
        <v>465</v>
      </c>
      <c r="I141" s="8">
        <f>+H141/6</f>
        <v>77.5</v>
      </c>
      <c r="J141" s="6">
        <f t="shared" si="12"/>
        <v>4.9290322580645158</v>
      </c>
      <c r="K141" s="5"/>
      <c r="L141" s="5"/>
      <c r="M141" s="5"/>
    </row>
    <row r="142" spans="1:13" hidden="1" x14ac:dyDescent="0.3">
      <c r="A142" s="5" t="s">
        <v>257</v>
      </c>
      <c r="B142" s="5" t="s">
        <v>239</v>
      </c>
      <c r="C142" s="5">
        <v>63</v>
      </c>
      <c r="D142" s="6">
        <v>26053.602197799999</v>
      </c>
      <c r="E142" s="7">
        <f t="shared" si="11"/>
        <v>1641376.9384613999</v>
      </c>
      <c r="F142" s="5" t="s">
        <v>258</v>
      </c>
      <c r="G142" s="5" t="s">
        <v>9</v>
      </c>
      <c r="H142" s="6">
        <v>117</v>
      </c>
      <c r="I142" s="8">
        <f>+H142/1</f>
        <v>117</v>
      </c>
      <c r="J142" s="6">
        <f t="shared" si="12"/>
        <v>0.53846153846153844</v>
      </c>
      <c r="K142" s="5"/>
      <c r="L142" s="5"/>
      <c r="M142" s="5"/>
    </row>
    <row r="143" spans="1:13" hidden="1" x14ac:dyDescent="0.3">
      <c r="A143" s="5" t="s">
        <v>259</v>
      </c>
      <c r="B143" s="5" t="s">
        <v>239</v>
      </c>
      <c r="C143" s="5">
        <v>16</v>
      </c>
      <c r="D143" s="6">
        <v>18324.331119999999</v>
      </c>
      <c r="E143" s="7">
        <f t="shared" si="11"/>
        <v>293189.29791999998</v>
      </c>
      <c r="F143" s="5" t="s">
        <v>260</v>
      </c>
      <c r="G143" s="5" t="s">
        <v>9</v>
      </c>
      <c r="H143" s="6">
        <v>59</v>
      </c>
      <c r="I143" s="8">
        <f>+H143/6</f>
        <v>9.8333333333333339</v>
      </c>
      <c r="J143" s="6">
        <f t="shared" si="12"/>
        <v>1.6271186440677965</v>
      </c>
      <c r="K143" s="5"/>
      <c r="L143" s="5"/>
      <c r="M143" s="5"/>
    </row>
    <row r="144" spans="1:13" hidden="1" x14ac:dyDescent="0.3">
      <c r="A144" s="5" t="s">
        <v>261</v>
      </c>
      <c r="B144" s="5" t="s">
        <v>239</v>
      </c>
      <c r="C144" s="5">
        <f>227+280</f>
        <v>507</v>
      </c>
      <c r="D144" s="6">
        <v>11008.859861950001</v>
      </c>
      <c r="E144" s="7">
        <f t="shared" si="11"/>
        <v>5581491.9500086503</v>
      </c>
      <c r="F144" s="5" t="s">
        <v>262</v>
      </c>
      <c r="G144" s="5" t="s">
        <v>9</v>
      </c>
      <c r="H144" s="6">
        <v>918</v>
      </c>
      <c r="I144" s="8">
        <f>+H144/6</f>
        <v>153</v>
      </c>
      <c r="J144" s="6">
        <f t="shared" si="12"/>
        <v>3.3137254901960786</v>
      </c>
      <c r="K144" s="5"/>
      <c r="L144" s="5"/>
      <c r="M144" s="5"/>
    </row>
    <row r="145" spans="1:13" hidden="1" x14ac:dyDescent="0.3">
      <c r="A145" s="9" t="s">
        <v>263</v>
      </c>
      <c r="B145" s="9" t="s">
        <v>239</v>
      </c>
      <c r="C145" s="9">
        <v>1</v>
      </c>
      <c r="D145" s="10">
        <v>12404.296</v>
      </c>
      <c r="E145" s="11">
        <f t="shared" si="11"/>
        <v>12404.296</v>
      </c>
      <c r="F145" s="9" t="s">
        <v>264</v>
      </c>
      <c r="G145" s="9" t="s">
        <v>9</v>
      </c>
      <c r="H145" s="10">
        <v>22</v>
      </c>
      <c r="I145" s="12">
        <f>+H145/6</f>
        <v>3.6666666666666665</v>
      </c>
      <c r="J145" s="10">
        <f t="shared" si="12"/>
        <v>0.27272727272727276</v>
      </c>
      <c r="K145" s="9"/>
      <c r="L145" s="9"/>
      <c r="M145" s="9"/>
    </row>
    <row r="146" spans="1:13" hidden="1" x14ac:dyDescent="0.3">
      <c r="A146" s="5" t="s">
        <v>265</v>
      </c>
      <c r="B146" s="5" t="s">
        <v>239</v>
      </c>
      <c r="C146" s="5">
        <v>171</v>
      </c>
      <c r="D146" s="6">
        <v>13693.0104357</v>
      </c>
      <c r="E146" s="7">
        <f t="shared" si="11"/>
        <v>2341504.7845047</v>
      </c>
      <c r="F146" s="5" t="s">
        <v>266</v>
      </c>
      <c r="G146" s="5" t="s">
        <v>9</v>
      </c>
      <c r="H146" s="6">
        <v>425</v>
      </c>
      <c r="I146" s="8">
        <f>+H146/6</f>
        <v>70.833333333333329</v>
      </c>
      <c r="J146" s="6">
        <f t="shared" si="12"/>
        <v>2.4141176470588235</v>
      </c>
      <c r="K146" s="5"/>
      <c r="L146" s="5"/>
      <c r="M146" s="5"/>
    </row>
    <row r="147" spans="1:13" hidden="1" x14ac:dyDescent="0.3">
      <c r="A147" s="5" t="s">
        <v>267</v>
      </c>
      <c r="B147" s="5" t="s">
        <v>239</v>
      </c>
      <c r="C147" s="5">
        <v>22</v>
      </c>
      <c r="D147" s="6">
        <v>11714.745000000001</v>
      </c>
      <c r="E147" s="7">
        <f t="shared" si="11"/>
        <v>257724.39</v>
      </c>
      <c r="F147" s="5" t="s">
        <v>268</v>
      </c>
      <c r="G147" s="5" t="s">
        <v>9</v>
      </c>
      <c r="H147" s="6">
        <v>62</v>
      </c>
      <c r="I147" s="8">
        <f>+H147/0.1</f>
        <v>620</v>
      </c>
      <c r="J147" s="6">
        <f t="shared" si="12"/>
        <v>3.5483870967741936E-2</v>
      </c>
      <c r="K147" s="5"/>
      <c r="L147" s="5"/>
      <c r="M147" s="5"/>
    </row>
    <row r="148" spans="1:13" hidden="1" x14ac:dyDescent="0.3">
      <c r="A148" s="5" t="s">
        <v>269</v>
      </c>
      <c r="B148" s="5" t="s">
        <v>239</v>
      </c>
      <c r="C148" s="5">
        <v>12</v>
      </c>
      <c r="D148" s="6">
        <v>28286.328300000001</v>
      </c>
      <c r="E148" s="7">
        <f t="shared" si="11"/>
        <v>339435.93960000004</v>
      </c>
      <c r="F148" s="5" t="s">
        <v>270</v>
      </c>
      <c r="G148" s="5" t="s">
        <v>9</v>
      </c>
      <c r="H148" s="6">
        <v>0</v>
      </c>
      <c r="I148" s="8">
        <f>+H148/4</f>
        <v>0</v>
      </c>
      <c r="J148" s="6" t="e">
        <f t="shared" si="12"/>
        <v>#DIV/0!</v>
      </c>
      <c r="K148" s="5"/>
      <c r="L148" s="18">
        <v>45972</v>
      </c>
      <c r="M148" s="5" t="s">
        <v>673</v>
      </c>
    </row>
    <row r="149" spans="1:13" hidden="1" x14ac:dyDescent="0.3">
      <c r="A149" s="5" t="s">
        <v>271</v>
      </c>
      <c r="B149" s="5" t="s">
        <v>239</v>
      </c>
      <c r="C149" s="5">
        <v>2</v>
      </c>
      <c r="D149" s="6">
        <v>24896.4437</v>
      </c>
      <c r="E149" s="7">
        <f t="shared" si="11"/>
        <v>49792.8874</v>
      </c>
      <c r="F149" s="5" t="s">
        <v>272</v>
      </c>
      <c r="G149" s="5" t="s">
        <v>9</v>
      </c>
      <c r="H149" s="6">
        <v>2</v>
      </c>
      <c r="I149" s="8">
        <f>+H149/4</f>
        <v>0.5</v>
      </c>
      <c r="J149" s="6">
        <f t="shared" si="12"/>
        <v>4</v>
      </c>
      <c r="K149" s="5"/>
      <c r="L149" s="18">
        <v>45972</v>
      </c>
      <c r="M149" s="5" t="s">
        <v>673</v>
      </c>
    </row>
    <row r="150" spans="1:13" hidden="1" x14ac:dyDescent="0.3">
      <c r="A150" s="5" t="s">
        <v>273</v>
      </c>
      <c r="B150" s="5" t="s">
        <v>274</v>
      </c>
      <c r="C150" s="5">
        <v>23600</v>
      </c>
      <c r="D150" s="6">
        <v>5.4453555600000003</v>
      </c>
      <c r="E150" s="7">
        <f t="shared" si="11"/>
        <v>128510.391216</v>
      </c>
      <c r="F150" s="5" t="s">
        <v>275</v>
      </c>
      <c r="G150" s="5" t="s">
        <v>9</v>
      </c>
      <c r="H150" s="6">
        <v>37952</v>
      </c>
      <c r="I150" s="8">
        <f t="shared" ref="I150:I178" si="15">+H150/6</f>
        <v>6325.333333333333</v>
      </c>
      <c r="J150" s="6">
        <f t="shared" si="12"/>
        <v>3.7310286677908939</v>
      </c>
      <c r="K150" s="5"/>
      <c r="L150" s="5"/>
      <c r="M150" s="5"/>
    </row>
    <row r="151" spans="1:13" hidden="1" x14ac:dyDescent="0.3">
      <c r="A151" s="5" t="s">
        <v>276</v>
      </c>
      <c r="B151" s="5" t="s">
        <v>274</v>
      </c>
      <c r="C151" s="5">
        <v>37953</v>
      </c>
      <c r="D151" s="6">
        <v>6.9143430600000002</v>
      </c>
      <c r="E151" s="7">
        <f t="shared" ref="E151:E219" si="16">+C151*D151</f>
        <v>262420.06215618004</v>
      </c>
      <c r="F151" s="5" t="s">
        <v>277</v>
      </c>
      <c r="G151" s="5" t="s">
        <v>9</v>
      </c>
      <c r="H151" s="6">
        <v>53591</v>
      </c>
      <c r="I151" s="8">
        <f t="shared" si="15"/>
        <v>8931.8333333333339</v>
      </c>
      <c r="J151" s="6">
        <f t="shared" ref="J151:J219" si="17">+C151/I151</f>
        <v>4.2491836315799292</v>
      </c>
      <c r="K151" s="5"/>
      <c r="L151" s="5"/>
      <c r="M151" s="5"/>
    </row>
    <row r="152" spans="1:13" hidden="1" x14ac:dyDescent="0.3">
      <c r="A152" s="5" t="s">
        <v>278</v>
      </c>
      <c r="B152" s="5" t="s">
        <v>274</v>
      </c>
      <c r="C152" s="5">
        <v>142</v>
      </c>
      <c r="D152" s="6">
        <v>5.9107343099999996</v>
      </c>
      <c r="E152" s="7">
        <f t="shared" si="16"/>
        <v>839.32427201999997</v>
      </c>
      <c r="F152" s="5" t="s">
        <v>279</v>
      </c>
      <c r="G152" s="5" t="s">
        <v>9</v>
      </c>
      <c r="H152" s="6">
        <v>8913</v>
      </c>
      <c r="I152" s="8">
        <f t="shared" si="15"/>
        <v>1485.5</v>
      </c>
      <c r="J152" s="6">
        <f t="shared" si="17"/>
        <v>9.5590710198586337E-2</v>
      </c>
      <c r="K152" s="5"/>
      <c r="L152" s="5"/>
      <c r="M152" s="5"/>
    </row>
    <row r="153" spans="1:13" hidden="1" x14ac:dyDescent="0.3">
      <c r="A153" s="5" t="s">
        <v>280</v>
      </c>
      <c r="B153" s="5" t="s">
        <v>274</v>
      </c>
      <c r="C153" s="5">
        <v>42</v>
      </c>
      <c r="D153" s="6">
        <v>6.1585999999999999</v>
      </c>
      <c r="E153" s="7">
        <f t="shared" si="16"/>
        <v>258.66120000000001</v>
      </c>
      <c r="F153" s="5" t="s">
        <v>281</v>
      </c>
      <c r="G153" s="5" t="s">
        <v>9</v>
      </c>
      <c r="H153" s="6">
        <v>12</v>
      </c>
      <c r="I153" s="8">
        <f t="shared" si="15"/>
        <v>2</v>
      </c>
      <c r="J153" s="6">
        <f t="shared" si="17"/>
        <v>21</v>
      </c>
      <c r="K153" s="5"/>
      <c r="L153" s="18">
        <v>45898</v>
      </c>
      <c r="M153" s="5" t="s">
        <v>690</v>
      </c>
    </row>
    <row r="154" spans="1:13" hidden="1" x14ac:dyDescent="0.3">
      <c r="A154" s="5" t="s">
        <v>282</v>
      </c>
      <c r="B154" s="5" t="s">
        <v>274</v>
      </c>
      <c r="C154" s="5">
        <v>256</v>
      </c>
      <c r="D154" s="6">
        <v>3.9203079399999998</v>
      </c>
      <c r="E154" s="7">
        <f t="shared" si="16"/>
        <v>1003.59883264</v>
      </c>
      <c r="F154" s="5" t="s">
        <v>283</v>
      </c>
      <c r="G154" s="5" t="s">
        <v>9</v>
      </c>
      <c r="H154" s="6">
        <v>7514</v>
      </c>
      <c r="I154" s="8">
        <f t="shared" si="15"/>
        <v>1252.3333333333333</v>
      </c>
      <c r="J154" s="6">
        <f t="shared" si="17"/>
        <v>0.20441841895129093</v>
      </c>
      <c r="K154" s="5"/>
      <c r="L154" s="5"/>
      <c r="M154" s="5"/>
    </row>
    <row r="155" spans="1:13" hidden="1" x14ac:dyDescent="0.3">
      <c r="A155" s="5" t="s">
        <v>284</v>
      </c>
      <c r="B155" s="5" t="s">
        <v>274</v>
      </c>
      <c r="C155" s="5">
        <v>66</v>
      </c>
      <c r="D155" s="6">
        <v>8.1802178199999993</v>
      </c>
      <c r="E155" s="7">
        <f t="shared" si="16"/>
        <v>539.89437611999995</v>
      </c>
      <c r="F155" s="5" t="s">
        <v>285</v>
      </c>
      <c r="G155" s="5" t="s">
        <v>9</v>
      </c>
      <c r="H155" s="6">
        <v>1606</v>
      </c>
      <c r="I155" s="8">
        <f t="shared" si="15"/>
        <v>267.66666666666669</v>
      </c>
      <c r="J155" s="6">
        <f t="shared" si="17"/>
        <v>0.24657534246575341</v>
      </c>
      <c r="K155" s="5"/>
      <c r="L155" s="5"/>
      <c r="M155" s="5"/>
    </row>
    <row r="156" spans="1:13" hidden="1" x14ac:dyDescent="0.3">
      <c r="A156" s="5" t="s">
        <v>286</v>
      </c>
      <c r="B156" s="5" t="s">
        <v>274</v>
      </c>
      <c r="C156" s="5">
        <v>77</v>
      </c>
      <c r="D156" s="6">
        <v>4.6074483300000004</v>
      </c>
      <c r="E156" s="7">
        <f t="shared" si="16"/>
        <v>354.77352141000006</v>
      </c>
      <c r="F156" s="5" t="s">
        <v>287</v>
      </c>
      <c r="G156" s="5" t="s">
        <v>9</v>
      </c>
      <c r="H156" s="6">
        <v>1696</v>
      </c>
      <c r="I156" s="8">
        <f t="shared" si="15"/>
        <v>282.66666666666669</v>
      </c>
      <c r="J156" s="6">
        <f t="shared" si="17"/>
        <v>0.27240566037735847</v>
      </c>
      <c r="K156" s="5"/>
      <c r="L156" s="5"/>
      <c r="M156" s="5"/>
    </row>
    <row r="157" spans="1:13" hidden="1" x14ac:dyDescent="0.3">
      <c r="A157" s="5" t="s">
        <v>288</v>
      </c>
      <c r="B157" s="5" t="s">
        <v>274</v>
      </c>
      <c r="C157" s="5">
        <v>32</v>
      </c>
      <c r="D157" s="6">
        <v>6.1070370699999996</v>
      </c>
      <c r="E157" s="7">
        <f t="shared" si="16"/>
        <v>195.42518623999999</v>
      </c>
      <c r="F157" s="5" t="s">
        <v>289</v>
      </c>
      <c r="G157" s="5" t="s">
        <v>9</v>
      </c>
      <c r="H157" s="6">
        <v>7221</v>
      </c>
      <c r="I157" s="8">
        <f t="shared" si="15"/>
        <v>1203.5</v>
      </c>
      <c r="J157" s="6">
        <f t="shared" si="17"/>
        <v>2.658911508101371E-2</v>
      </c>
      <c r="K157" s="5"/>
      <c r="L157" s="5"/>
      <c r="M157" s="5"/>
    </row>
    <row r="158" spans="1:13" hidden="1" x14ac:dyDescent="0.3">
      <c r="A158" s="5" t="s">
        <v>290</v>
      </c>
      <c r="B158" s="5" t="s">
        <v>274</v>
      </c>
      <c r="C158" s="5">
        <v>1302</v>
      </c>
      <c r="D158" s="6">
        <v>5.7301956499999998</v>
      </c>
      <c r="E158" s="7">
        <f t="shared" si="16"/>
        <v>7460.7147362999995</v>
      </c>
      <c r="F158" s="5" t="s">
        <v>291</v>
      </c>
      <c r="G158" s="5" t="s">
        <v>9</v>
      </c>
      <c r="H158" s="6">
        <v>5798</v>
      </c>
      <c r="I158" s="8">
        <f t="shared" si="15"/>
        <v>966.33333333333337</v>
      </c>
      <c r="J158" s="6">
        <f t="shared" si="17"/>
        <v>1.3473611590203518</v>
      </c>
      <c r="K158" s="5"/>
      <c r="L158" s="5"/>
      <c r="M158" s="5"/>
    </row>
    <row r="159" spans="1:13" hidden="1" x14ac:dyDescent="0.3">
      <c r="A159" s="5" t="s">
        <v>292</v>
      </c>
      <c r="B159" s="5" t="s">
        <v>274</v>
      </c>
      <c r="C159" s="5">
        <v>34624</v>
      </c>
      <c r="D159" s="6">
        <v>3.06359257</v>
      </c>
      <c r="E159" s="7">
        <f t="shared" si="16"/>
        <v>106073.82914367999</v>
      </c>
      <c r="F159" s="5" t="s">
        <v>293</v>
      </c>
      <c r="G159" s="5" t="s">
        <v>9</v>
      </c>
      <c r="H159" s="6">
        <v>284411</v>
      </c>
      <c r="I159" s="8">
        <f t="shared" si="15"/>
        <v>47401.833333333336</v>
      </c>
      <c r="J159" s="6">
        <f t="shared" si="17"/>
        <v>0.73043588328158893</v>
      </c>
      <c r="K159" s="5"/>
      <c r="L159" s="5"/>
      <c r="M159" s="5"/>
    </row>
    <row r="160" spans="1:13" hidden="1" x14ac:dyDescent="0.3">
      <c r="A160" s="5" t="s">
        <v>294</v>
      </c>
      <c r="B160" s="5" t="s">
        <v>274</v>
      </c>
      <c r="C160" s="5">
        <v>29575</v>
      </c>
      <c r="D160" s="6">
        <v>6.4028775400000004</v>
      </c>
      <c r="E160" s="7">
        <f t="shared" si="16"/>
        <v>189365.10324550001</v>
      </c>
      <c r="F160" s="5" t="s">
        <v>295</v>
      </c>
      <c r="G160" s="5" t="s">
        <v>9</v>
      </c>
      <c r="H160" s="6">
        <v>96426</v>
      </c>
      <c r="I160" s="8">
        <f t="shared" si="15"/>
        <v>16071</v>
      </c>
      <c r="J160" s="6">
        <f t="shared" si="17"/>
        <v>1.8402712961234522</v>
      </c>
      <c r="K160" s="5"/>
      <c r="L160" s="5"/>
      <c r="M160" s="5"/>
    </row>
    <row r="161" spans="1:13" hidden="1" x14ac:dyDescent="0.3">
      <c r="A161" s="5" t="s">
        <v>296</v>
      </c>
      <c r="B161" s="5" t="s">
        <v>274</v>
      </c>
      <c r="C161" s="5">
        <v>988</v>
      </c>
      <c r="D161" s="6">
        <v>8.7034678999999997</v>
      </c>
      <c r="E161" s="7">
        <f t="shared" si="16"/>
        <v>8599.0262851999996</v>
      </c>
      <c r="F161" s="5" t="s">
        <v>297</v>
      </c>
      <c r="G161" s="5" t="s">
        <v>9</v>
      </c>
      <c r="H161" s="6">
        <v>2920</v>
      </c>
      <c r="I161" s="8">
        <f t="shared" si="15"/>
        <v>486.66666666666669</v>
      </c>
      <c r="J161" s="6">
        <f t="shared" si="17"/>
        <v>2.0301369863013696</v>
      </c>
      <c r="K161" s="5"/>
      <c r="L161" s="5"/>
      <c r="M161" s="5"/>
    </row>
    <row r="162" spans="1:13" hidden="1" x14ac:dyDescent="0.3">
      <c r="A162" s="5" t="s">
        <v>298</v>
      </c>
      <c r="B162" s="5" t="s">
        <v>274</v>
      </c>
      <c r="C162" s="5">
        <v>1669</v>
      </c>
      <c r="D162" s="6">
        <v>2.99651398</v>
      </c>
      <c r="E162" s="7">
        <f t="shared" si="16"/>
        <v>5001.18183262</v>
      </c>
      <c r="F162" s="5" t="s">
        <v>299</v>
      </c>
      <c r="G162" s="5" t="s">
        <v>9</v>
      </c>
      <c r="H162" s="6">
        <v>434314</v>
      </c>
      <c r="I162" s="8">
        <f t="shared" si="15"/>
        <v>72385.666666666672</v>
      </c>
      <c r="J162" s="6">
        <f t="shared" si="17"/>
        <v>2.3057050889448646E-2</v>
      </c>
      <c r="K162" s="5"/>
      <c r="L162" s="5"/>
      <c r="M162" s="5"/>
    </row>
    <row r="163" spans="1:13" hidden="1" x14ac:dyDescent="0.3">
      <c r="A163" s="5" t="s">
        <v>300</v>
      </c>
      <c r="B163" s="5" t="s">
        <v>274</v>
      </c>
      <c r="C163" s="5">
        <v>8313</v>
      </c>
      <c r="D163" s="6">
        <v>4.8462192499999999</v>
      </c>
      <c r="E163" s="7">
        <f t="shared" si="16"/>
        <v>40286.620625249998</v>
      </c>
      <c r="F163" s="5" t="s">
        <v>301</v>
      </c>
      <c r="G163" s="5" t="s">
        <v>9</v>
      </c>
      <c r="H163" s="6">
        <v>30396</v>
      </c>
      <c r="I163" s="8">
        <f t="shared" si="15"/>
        <v>5066</v>
      </c>
      <c r="J163" s="6">
        <f t="shared" si="17"/>
        <v>1.6409395973154361</v>
      </c>
      <c r="K163" s="5"/>
      <c r="L163" s="5"/>
      <c r="M163" s="5"/>
    </row>
    <row r="164" spans="1:13" hidden="1" x14ac:dyDescent="0.3">
      <c r="A164" s="5" t="s">
        <v>302</v>
      </c>
      <c r="B164" s="5" t="s">
        <v>274</v>
      </c>
      <c r="C164" s="5">
        <v>900</v>
      </c>
      <c r="D164" s="6">
        <v>10.378972409999999</v>
      </c>
      <c r="E164" s="7">
        <f t="shared" si="16"/>
        <v>9341.0751689999997</v>
      </c>
      <c r="F164" s="5" t="s">
        <v>303</v>
      </c>
      <c r="G164" s="5" t="s">
        <v>9</v>
      </c>
      <c r="H164" s="6">
        <v>6343</v>
      </c>
      <c r="I164" s="8">
        <f t="shared" si="15"/>
        <v>1057.1666666666667</v>
      </c>
      <c r="J164" s="6">
        <f t="shared" si="17"/>
        <v>0.85133217720321608</v>
      </c>
      <c r="K164" s="5"/>
      <c r="L164" s="5"/>
      <c r="M164" s="5"/>
    </row>
    <row r="165" spans="1:13" hidden="1" x14ac:dyDescent="0.3">
      <c r="A165" s="5" t="s">
        <v>304</v>
      </c>
      <c r="B165" s="5" t="s">
        <v>274</v>
      </c>
      <c r="C165" s="5">
        <v>7342</v>
      </c>
      <c r="D165" s="6">
        <v>7.8631464800000002</v>
      </c>
      <c r="E165" s="7">
        <f t="shared" si="16"/>
        <v>57731.221456159998</v>
      </c>
      <c r="F165" s="5" t="s">
        <v>305</v>
      </c>
      <c r="G165" s="5" t="s">
        <v>9</v>
      </c>
      <c r="H165" s="6">
        <v>9461</v>
      </c>
      <c r="I165" s="8">
        <f t="shared" si="15"/>
        <v>1576.8333333333333</v>
      </c>
      <c r="J165" s="6">
        <f t="shared" si="17"/>
        <v>4.6561674241623505</v>
      </c>
      <c r="K165" s="5"/>
      <c r="L165" s="5"/>
      <c r="M165" s="5"/>
    </row>
    <row r="166" spans="1:13" hidden="1" x14ac:dyDescent="0.3">
      <c r="A166" s="5" t="s">
        <v>306</v>
      </c>
      <c r="B166" s="5" t="s">
        <v>274</v>
      </c>
      <c r="C166" s="5">
        <v>154</v>
      </c>
      <c r="D166" s="6">
        <v>5.1482999999999999</v>
      </c>
      <c r="E166" s="7">
        <f t="shared" si="16"/>
        <v>792.83820000000003</v>
      </c>
      <c r="F166" s="5" t="s">
        <v>307</v>
      </c>
      <c r="G166" s="5" t="s">
        <v>9</v>
      </c>
      <c r="H166" s="6">
        <v>12293</v>
      </c>
      <c r="I166" s="8">
        <f t="shared" si="15"/>
        <v>2048.8333333333335</v>
      </c>
      <c r="J166" s="6">
        <f t="shared" si="17"/>
        <v>7.5164727893923367E-2</v>
      </c>
      <c r="K166" s="5"/>
      <c r="L166" s="5"/>
      <c r="M166" s="5"/>
    </row>
    <row r="167" spans="1:13" hidden="1" x14ac:dyDescent="0.3">
      <c r="A167" s="5" t="s">
        <v>308</v>
      </c>
      <c r="B167" s="5" t="s">
        <v>274</v>
      </c>
      <c r="C167" s="5">
        <f>1900*5</f>
        <v>9500</v>
      </c>
      <c r="D167" s="6">
        <v>5.8869135300000002</v>
      </c>
      <c r="E167" s="7">
        <f t="shared" si="16"/>
        <v>55925.678534999999</v>
      </c>
      <c r="F167" s="5" t="s">
        <v>309</v>
      </c>
      <c r="G167" s="5" t="s">
        <v>9</v>
      </c>
      <c r="H167" s="6">
        <v>11082</v>
      </c>
      <c r="I167" s="8">
        <f t="shared" si="15"/>
        <v>1847</v>
      </c>
      <c r="J167" s="6">
        <f t="shared" si="17"/>
        <v>5.1434759068760147</v>
      </c>
      <c r="K167" s="5"/>
      <c r="L167" s="5"/>
      <c r="M167" s="5"/>
    </row>
    <row r="168" spans="1:13" hidden="1" x14ac:dyDescent="0.3">
      <c r="A168" s="9" t="s">
        <v>308</v>
      </c>
      <c r="B168" s="9" t="s">
        <v>274</v>
      </c>
      <c r="C168" s="9">
        <f>13033-9500</f>
        <v>3533</v>
      </c>
      <c r="D168" s="10">
        <v>5.8869135300000002</v>
      </c>
      <c r="E168" s="11">
        <f t="shared" si="16"/>
        <v>20798.465501490002</v>
      </c>
      <c r="F168" s="9" t="s">
        <v>309</v>
      </c>
      <c r="G168" s="9" t="s">
        <v>9</v>
      </c>
      <c r="H168" s="10">
        <v>11082</v>
      </c>
      <c r="I168" s="12">
        <f t="shared" si="15"/>
        <v>1847</v>
      </c>
      <c r="J168" s="10">
        <f t="shared" si="17"/>
        <v>1.9128316188413643</v>
      </c>
      <c r="K168" s="9"/>
      <c r="L168" s="9"/>
      <c r="M168" s="9"/>
    </row>
    <row r="169" spans="1:13" hidden="1" x14ac:dyDescent="0.3">
      <c r="A169" s="5" t="s">
        <v>310</v>
      </c>
      <c r="B169" s="5" t="s">
        <v>274</v>
      </c>
      <c r="C169" s="5">
        <v>58</v>
      </c>
      <c r="D169" s="6">
        <v>5.5699462899999999</v>
      </c>
      <c r="E169" s="7">
        <f t="shared" si="16"/>
        <v>323.05688481999999</v>
      </c>
      <c r="F169" s="5" t="s">
        <v>311</v>
      </c>
      <c r="G169" s="5" t="s">
        <v>9</v>
      </c>
      <c r="H169" s="6">
        <v>6763</v>
      </c>
      <c r="I169" s="8">
        <f t="shared" si="15"/>
        <v>1127.1666666666667</v>
      </c>
      <c r="J169" s="6">
        <f t="shared" si="17"/>
        <v>5.145645423628567E-2</v>
      </c>
      <c r="K169" s="5"/>
      <c r="L169" s="5"/>
      <c r="M169" s="5"/>
    </row>
    <row r="170" spans="1:13" hidden="1" x14ac:dyDescent="0.3">
      <c r="A170" s="5" t="s">
        <v>312</v>
      </c>
      <c r="B170" s="5" t="s">
        <v>274</v>
      </c>
      <c r="C170" s="5">
        <v>4765</v>
      </c>
      <c r="D170" s="6">
        <v>6.4800474000000001</v>
      </c>
      <c r="E170" s="7">
        <f t="shared" si="16"/>
        <v>30877.425861</v>
      </c>
      <c r="F170" s="5" t="s">
        <v>313</v>
      </c>
      <c r="G170" s="5" t="s">
        <v>9</v>
      </c>
      <c r="H170" s="6">
        <v>24394</v>
      </c>
      <c r="I170" s="8">
        <f t="shared" si="15"/>
        <v>4065.6666666666665</v>
      </c>
      <c r="J170" s="6">
        <f t="shared" si="17"/>
        <v>1.1720095105353776</v>
      </c>
      <c r="K170" s="5"/>
      <c r="L170" s="5"/>
      <c r="M170" s="5"/>
    </row>
    <row r="171" spans="1:13" hidden="1" x14ac:dyDescent="0.3">
      <c r="A171" s="5" t="s">
        <v>314</v>
      </c>
      <c r="B171" s="5" t="s">
        <v>274</v>
      </c>
      <c r="C171" s="5">
        <f>560*5</f>
        <v>2800</v>
      </c>
      <c r="D171" s="6">
        <v>7.6250131300000001</v>
      </c>
      <c r="E171" s="7">
        <f t="shared" si="16"/>
        <v>21350.036764</v>
      </c>
      <c r="F171" s="5" t="s">
        <v>315</v>
      </c>
      <c r="G171" s="5" t="s">
        <v>9</v>
      </c>
      <c r="H171" s="6">
        <v>3328</v>
      </c>
      <c r="I171" s="8">
        <f t="shared" si="15"/>
        <v>554.66666666666663</v>
      </c>
      <c r="J171" s="6">
        <f t="shared" si="17"/>
        <v>5.0480769230769234</v>
      </c>
      <c r="K171" s="5"/>
      <c r="L171" s="5"/>
      <c r="M171" s="5"/>
    </row>
    <row r="172" spans="1:13" hidden="1" x14ac:dyDescent="0.3">
      <c r="A172" s="9" t="s">
        <v>314</v>
      </c>
      <c r="B172" s="9" t="s">
        <v>274</v>
      </c>
      <c r="C172" s="9">
        <f>10970-2800</f>
        <v>8170</v>
      </c>
      <c r="D172" s="10">
        <v>7.6250131300000001</v>
      </c>
      <c r="E172" s="11">
        <f t="shared" si="16"/>
        <v>62296.357272100002</v>
      </c>
      <c r="F172" s="9" t="s">
        <v>315</v>
      </c>
      <c r="G172" s="9" t="s">
        <v>9</v>
      </c>
      <c r="H172" s="10">
        <v>3328</v>
      </c>
      <c r="I172" s="12">
        <f t="shared" si="15"/>
        <v>554.66666666666663</v>
      </c>
      <c r="J172" s="10">
        <f t="shared" si="17"/>
        <v>14.729567307692308</v>
      </c>
      <c r="K172" s="9"/>
      <c r="L172" s="9"/>
      <c r="M172" s="9"/>
    </row>
    <row r="173" spans="1:13" hidden="1" x14ac:dyDescent="0.3">
      <c r="A173" s="5" t="s">
        <v>316</v>
      </c>
      <c r="B173" s="5" t="s">
        <v>274</v>
      </c>
      <c r="C173" s="5">
        <v>12477</v>
      </c>
      <c r="D173" s="6">
        <v>3.4188000000000001</v>
      </c>
      <c r="E173" s="7">
        <f t="shared" si="16"/>
        <v>42656.367599999998</v>
      </c>
      <c r="F173" s="5" t="s">
        <v>317</v>
      </c>
      <c r="G173" s="5" t="s">
        <v>9</v>
      </c>
      <c r="H173" s="6">
        <v>38333</v>
      </c>
      <c r="I173" s="8">
        <f t="shared" si="15"/>
        <v>6388.833333333333</v>
      </c>
      <c r="J173" s="6">
        <f t="shared" si="17"/>
        <v>1.9529387212062714</v>
      </c>
      <c r="K173" s="5"/>
      <c r="L173" s="5"/>
      <c r="M173" s="5"/>
    </row>
    <row r="174" spans="1:13" hidden="1" x14ac:dyDescent="0.3">
      <c r="A174" s="5" t="s">
        <v>318</v>
      </c>
      <c r="B174" s="5" t="s">
        <v>274</v>
      </c>
      <c r="C174" s="5">
        <v>10160</v>
      </c>
      <c r="D174" s="6">
        <v>3.4188000000000001</v>
      </c>
      <c r="E174" s="7">
        <f t="shared" si="16"/>
        <v>34735.008000000002</v>
      </c>
      <c r="F174" s="5" t="s">
        <v>319</v>
      </c>
      <c r="G174" s="5" t="s">
        <v>9</v>
      </c>
      <c r="H174" s="6">
        <v>56211</v>
      </c>
      <c r="I174" s="8">
        <f t="shared" si="15"/>
        <v>9368.5</v>
      </c>
      <c r="J174" s="6">
        <f t="shared" si="17"/>
        <v>1.0844852431018839</v>
      </c>
      <c r="K174" s="5"/>
      <c r="L174" s="5"/>
      <c r="M174" s="5"/>
    </row>
    <row r="175" spans="1:13" hidden="1" x14ac:dyDescent="0.3">
      <c r="A175" s="5" t="s">
        <v>320</v>
      </c>
      <c r="B175" s="5" t="s">
        <v>274</v>
      </c>
      <c r="C175" s="5">
        <v>607</v>
      </c>
      <c r="D175" s="6">
        <v>3.41880666</v>
      </c>
      <c r="E175" s="7">
        <f t="shared" si="16"/>
        <v>2075.2156426199999</v>
      </c>
      <c r="F175" s="5" t="s">
        <v>321</v>
      </c>
      <c r="G175" s="5" t="s">
        <v>9</v>
      </c>
      <c r="H175" s="6">
        <v>331690</v>
      </c>
      <c r="I175" s="8">
        <f t="shared" si="15"/>
        <v>55281.666666666664</v>
      </c>
      <c r="J175" s="6">
        <f t="shared" si="17"/>
        <v>1.0980132051011487E-2</v>
      </c>
      <c r="K175" s="5"/>
      <c r="L175" s="5"/>
      <c r="M175" s="5"/>
    </row>
    <row r="176" spans="1:13" hidden="1" x14ac:dyDescent="0.3">
      <c r="A176" s="5" t="s">
        <v>322</v>
      </c>
      <c r="B176" s="5" t="s">
        <v>274</v>
      </c>
      <c r="C176" s="5">
        <v>69</v>
      </c>
      <c r="D176" s="6">
        <v>11.07290096</v>
      </c>
      <c r="E176" s="7">
        <f t="shared" si="16"/>
        <v>764.03016623999997</v>
      </c>
      <c r="F176" s="5" t="s">
        <v>323</v>
      </c>
      <c r="G176" s="5" t="s">
        <v>9</v>
      </c>
      <c r="H176" s="6">
        <v>1965</v>
      </c>
      <c r="I176" s="8">
        <f t="shared" si="15"/>
        <v>327.5</v>
      </c>
      <c r="J176" s="6">
        <f t="shared" si="17"/>
        <v>0.21068702290076335</v>
      </c>
      <c r="K176" s="5"/>
      <c r="L176" s="5"/>
      <c r="M176" s="5"/>
    </row>
    <row r="177" spans="1:13" hidden="1" x14ac:dyDescent="0.3">
      <c r="A177" s="5" t="s">
        <v>324</v>
      </c>
      <c r="B177" s="5" t="s">
        <v>274</v>
      </c>
      <c r="C177" s="5">
        <v>58</v>
      </c>
      <c r="D177" s="6">
        <v>5.83</v>
      </c>
      <c r="E177" s="7">
        <f t="shared" si="16"/>
        <v>338.14</v>
      </c>
      <c r="F177" s="5" t="s">
        <v>325</v>
      </c>
      <c r="G177" s="5" t="s">
        <v>9</v>
      </c>
      <c r="H177" s="6">
        <v>24342</v>
      </c>
      <c r="I177" s="8">
        <f t="shared" si="15"/>
        <v>4057</v>
      </c>
      <c r="J177" s="6">
        <f t="shared" si="17"/>
        <v>1.4296278037959083E-2</v>
      </c>
      <c r="K177" s="5"/>
      <c r="L177" s="5"/>
      <c r="M177" s="5"/>
    </row>
    <row r="178" spans="1:13" hidden="1" x14ac:dyDescent="0.3">
      <c r="A178" s="13" t="s">
        <v>326</v>
      </c>
      <c r="B178" s="13" t="s">
        <v>274</v>
      </c>
      <c r="C178" s="13">
        <v>21</v>
      </c>
      <c r="D178" s="14">
        <v>13.38</v>
      </c>
      <c r="E178" s="15">
        <f t="shared" si="16"/>
        <v>280.98</v>
      </c>
      <c r="F178" s="13" t="s">
        <v>327</v>
      </c>
      <c r="G178" s="13" t="s">
        <v>9</v>
      </c>
      <c r="H178" s="14">
        <v>0</v>
      </c>
      <c r="I178" s="16">
        <f t="shared" si="15"/>
        <v>0</v>
      </c>
      <c r="J178" s="14" t="e">
        <f t="shared" si="17"/>
        <v>#DIV/0!</v>
      </c>
      <c r="K178" s="13"/>
      <c r="L178" s="13"/>
      <c r="M178" s="13"/>
    </row>
    <row r="179" spans="1:13" hidden="1" x14ac:dyDescent="0.3">
      <c r="A179" s="5" t="s">
        <v>328</v>
      </c>
      <c r="B179" s="5" t="s">
        <v>274</v>
      </c>
      <c r="C179" s="5">
        <f>180*5</f>
        <v>900</v>
      </c>
      <c r="D179" s="6">
        <v>7.8286355700000003</v>
      </c>
      <c r="E179" s="7">
        <f t="shared" si="16"/>
        <v>7045.7720130000007</v>
      </c>
      <c r="F179" s="5" t="s">
        <v>329</v>
      </c>
      <c r="G179" s="5" t="s">
        <v>9</v>
      </c>
      <c r="H179" s="6">
        <v>915</v>
      </c>
      <c r="I179" s="8">
        <f>+H179/5.2</f>
        <v>175.96153846153845</v>
      </c>
      <c r="J179" s="6">
        <f t="shared" si="17"/>
        <v>5.1147540983606561</v>
      </c>
      <c r="K179" s="5"/>
      <c r="L179" s="18">
        <v>46063</v>
      </c>
      <c r="M179" s="5" t="s">
        <v>681</v>
      </c>
    </row>
    <row r="180" spans="1:13" hidden="1" x14ac:dyDescent="0.3">
      <c r="A180" s="9" t="s">
        <v>328</v>
      </c>
      <c r="B180" s="9" t="s">
        <v>274</v>
      </c>
      <c r="C180" s="9">
        <f>2415-900</f>
        <v>1515</v>
      </c>
      <c r="D180" s="10">
        <v>7.8286355700000003</v>
      </c>
      <c r="E180" s="11">
        <f t="shared" si="16"/>
        <v>11860.382888550001</v>
      </c>
      <c r="F180" s="9" t="s">
        <v>329</v>
      </c>
      <c r="G180" s="9" t="s">
        <v>9</v>
      </c>
      <c r="H180" s="10">
        <v>915</v>
      </c>
      <c r="I180" s="12">
        <f>+H180/5.2</f>
        <v>175.96153846153845</v>
      </c>
      <c r="J180" s="10">
        <f t="shared" si="17"/>
        <v>8.6098360655737718</v>
      </c>
      <c r="K180" s="9"/>
      <c r="L180" s="17">
        <v>46063</v>
      </c>
      <c r="M180" s="9" t="s">
        <v>681</v>
      </c>
    </row>
    <row r="181" spans="1:13" hidden="1" x14ac:dyDescent="0.3">
      <c r="A181" s="5" t="s">
        <v>330</v>
      </c>
      <c r="B181" s="5" t="s">
        <v>274</v>
      </c>
      <c r="C181" s="5">
        <v>11320</v>
      </c>
      <c r="D181" s="6">
        <v>7.8290264900000004</v>
      </c>
      <c r="E181" s="7">
        <f t="shared" si="16"/>
        <v>88624.579866800006</v>
      </c>
      <c r="F181" s="5" t="s">
        <v>331</v>
      </c>
      <c r="G181" s="5" t="s">
        <v>9</v>
      </c>
      <c r="H181" s="6">
        <v>31150</v>
      </c>
      <c r="I181" s="8">
        <f>+H181/6</f>
        <v>5191.666666666667</v>
      </c>
      <c r="J181" s="6">
        <f t="shared" si="17"/>
        <v>2.180417335473515</v>
      </c>
      <c r="K181" s="5"/>
      <c r="L181" s="5"/>
      <c r="M181" s="5"/>
    </row>
    <row r="182" spans="1:13" hidden="1" x14ac:dyDescent="0.3">
      <c r="A182" s="5" t="s">
        <v>332</v>
      </c>
      <c r="B182" s="5" t="s">
        <v>274</v>
      </c>
      <c r="C182" s="5">
        <v>970</v>
      </c>
      <c r="D182" s="6">
        <v>7.83</v>
      </c>
      <c r="E182" s="7">
        <f t="shared" si="16"/>
        <v>7595.1</v>
      </c>
      <c r="F182" s="5" t="s">
        <v>333</v>
      </c>
      <c r="G182" s="5" t="s">
        <v>9</v>
      </c>
      <c r="H182" s="6">
        <v>45500</v>
      </c>
      <c r="I182" s="8">
        <f>+H182/6</f>
        <v>7583.333333333333</v>
      </c>
      <c r="J182" s="6">
        <f t="shared" si="17"/>
        <v>0.12791208791208791</v>
      </c>
      <c r="K182" s="5"/>
      <c r="L182" s="5"/>
      <c r="M182" s="5"/>
    </row>
    <row r="183" spans="1:13" hidden="1" x14ac:dyDescent="0.3">
      <c r="A183" s="5" t="s">
        <v>334</v>
      </c>
      <c r="B183" s="5" t="s">
        <v>274</v>
      </c>
      <c r="C183" s="5">
        <v>1810</v>
      </c>
      <c r="D183" s="6">
        <v>9.6215118400000001</v>
      </c>
      <c r="E183" s="7">
        <f t="shared" si="16"/>
        <v>17414.936430400001</v>
      </c>
      <c r="F183" s="5" t="s">
        <v>335</v>
      </c>
      <c r="G183" s="5" t="s">
        <v>9</v>
      </c>
      <c r="H183" s="6">
        <v>715</v>
      </c>
      <c r="I183" s="8">
        <f>+H183/3</f>
        <v>238.33333333333334</v>
      </c>
      <c r="J183" s="6">
        <f t="shared" si="17"/>
        <v>7.5944055944055942</v>
      </c>
      <c r="K183" s="5"/>
      <c r="L183" s="18">
        <v>46063</v>
      </c>
      <c r="M183" s="5" t="s">
        <v>682</v>
      </c>
    </row>
    <row r="184" spans="1:13" hidden="1" x14ac:dyDescent="0.3">
      <c r="A184" s="5" t="s">
        <v>336</v>
      </c>
      <c r="B184" s="5" t="s">
        <v>274</v>
      </c>
      <c r="C184" s="5">
        <f>3700*5</f>
        <v>18500</v>
      </c>
      <c r="D184" s="6">
        <v>3.9260999999999999</v>
      </c>
      <c r="E184" s="7">
        <f t="shared" si="16"/>
        <v>72632.850000000006</v>
      </c>
      <c r="F184" s="5" t="s">
        <v>337</v>
      </c>
      <c r="G184" s="5" t="s">
        <v>9</v>
      </c>
      <c r="H184" s="6">
        <v>21833</v>
      </c>
      <c r="I184" s="8">
        <f t="shared" ref="I184:I199" si="18">+H184/6</f>
        <v>3638.8333333333335</v>
      </c>
      <c r="J184" s="6">
        <f t="shared" si="17"/>
        <v>5.0840470846883159</v>
      </c>
      <c r="K184" s="5"/>
      <c r="L184" s="5"/>
      <c r="M184" s="5"/>
    </row>
    <row r="185" spans="1:13" hidden="1" x14ac:dyDescent="0.3">
      <c r="A185" s="9" t="s">
        <v>336</v>
      </c>
      <c r="B185" s="9" t="s">
        <v>274</v>
      </c>
      <c r="C185" s="9">
        <f>41822-18500</f>
        <v>23322</v>
      </c>
      <c r="D185" s="10">
        <v>3.9260999999999999</v>
      </c>
      <c r="E185" s="11">
        <f t="shared" si="16"/>
        <v>91564.504199999996</v>
      </c>
      <c r="F185" s="9" t="s">
        <v>337</v>
      </c>
      <c r="G185" s="9" t="s">
        <v>9</v>
      </c>
      <c r="H185" s="10">
        <v>21833</v>
      </c>
      <c r="I185" s="12">
        <f t="shared" si="18"/>
        <v>3638.8333333333335</v>
      </c>
      <c r="J185" s="10">
        <f t="shared" si="17"/>
        <v>6.4091970869784269</v>
      </c>
      <c r="K185" s="9"/>
      <c r="L185" s="9"/>
      <c r="M185" s="9"/>
    </row>
    <row r="186" spans="1:13" hidden="1" x14ac:dyDescent="0.3">
      <c r="A186" s="5" t="s">
        <v>338</v>
      </c>
      <c r="B186" s="5" t="s">
        <v>274</v>
      </c>
      <c r="C186" s="5">
        <v>24286</v>
      </c>
      <c r="D186" s="6">
        <v>4.1534029600000002</v>
      </c>
      <c r="E186" s="7">
        <f t="shared" si="16"/>
        <v>100869.54428656001</v>
      </c>
      <c r="F186" s="5" t="s">
        <v>339</v>
      </c>
      <c r="G186" s="5" t="s">
        <v>9</v>
      </c>
      <c r="H186" s="6">
        <v>48424</v>
      </c>
      <c r="I186" s="8">
        <f t="shared" si="18"/>
        <v>8070.666666666667</v>
      </c>
      <c r="J186" s="6">
        <f t="shared" si="17"/>
        <v>3.0091690071039152</v>
      </c>
      <c r="K186" s="5"/>
      <c r="L186" s="5"/>
      <c r="M186" s="5"/>
    </row>
    <row r="187" spans="1:13" hidden="1" x14ac:dyDescent="0.3">
      <c r="A187" s="5" t="s">
        <v>340</v>
      </c>
      <c r="B187" s="5" t="s">
        <v>274</v>
      </c>
      <c r="C187" s="5">
        <v>59463</v>
      </c>
      <c r="D187" s="6">
        <v>4.17</v>
      </c>
      <c r="E187" s="7">
        <f t="shared" si="16"/>
        <v>247960.71</v>
      </c>
      <c r="F187" s="5" t="s">
        <v>341</v>
      </c>
      <c r="G187" s="5" t="s">
        <v>9</v>
      </c>
      <c r="H187" s="6">
        <v>670536</v>
      </c>
      <c r="I187" s="8">
        <f t="shared" si="18"/>
        <v>111756</v>
      </c>
      <c r="J187" s="6">
        <f t="shared" si="17"/>
        <v>0.53207881456029205</v>
      </c>
      <c r="K187" s="5"/>
      <c r="L187" s="5"/>
      <c r="M187" s="5"/>
    </row>
    <row r="188" spans="1:13" hidden="1" x14ac:dyDescent="0.3">
      <c r="A188" s="5" t="s">
        <v>342</v>
      </c>
      <c r="B188" s="5" t="s">
        <v>274</v>
      </c>
      <c r="C188" s="5">
        <v>1592</v>
      </c>
      <c r="D188" s="6">
        <v>15.78</v>
      </c>
      <c r="E188" s="7">
        <f t="shared" si="16"/>
        <v>25121.759999999998</v>
      </c>
      <c r="F188" s="5" t="s">
        <v>343</v>
      </c>
      <c r="G188" s="5" t="s">
        <v>9</v>
      </c>
      <c r="H188" s="6">
        <v>12407</v>
      </c>
      <c r="I188" s="8">
        <f t="shared" si="18"/>
        <v>2067.8333333333335</v>
      </c>
      <c r="J188" s="6">
        <f t="shared" si="17"/>
        <v>0.76988796647054081</v>
      </c>
      <c r="K188" s="5"/>
      <c r="L188" s="5"/>
      <c r="M188" s="5"/>
    </row>
    <row r="189" spans="1:13" hidden="1" x14ac:dyDescent="0.3">
      <c r="A189" s="9" t="s">
        <v>344</v>
      </c>
      <c r="B189" s="9" t="s">
        <v>274</v>
      </c>
      <c r="C189" s="9">
        <v>45</v>
      </c>
      <c r="D189" s="10">
        <v>4.8499999999999996</v>
      </c>
      <c r="E189" s="11">
        <f t="shared" si="16"/>
        <v>218.24999999999997</v>
      </c>
      <c r="F189" s="9" t="s">
        <v>345</v>
      </c>
      <c r="G189" s="9" t="s">
        <v>9</v>
      </c>
      <c r="H189" s="10">
        <v>10</v>
      </c>
      <c r="I189" s="12">
        <f t="shared" si="18"/>
        <v>1.6666666666666667</v>
      </c>
      <c r="J189" s="10">
        <f t="shared" si="17"/>
        <v>27</v>
      </c>
      <c r="K189" s="9"/>
      <c r="L189" s="9"/>
      <c r="M189" s="9"/>
    </row>
    <row r="190" spans="1:13" hidden="1" x14ac:dyDescent="0.3">
      <c r="A190" s="13" t="s">
        <v>346</v>
      </c>
      <c r="B190" s="13" t="s">
        <v>347</v>
      </c>
      <c r="C190" s="13">
        <v>1</v>
      </c>
      <c r="D190" s="14">
        <v>392.94</v>
      </c>
      <c r="E190" s="15">
        <f t="shared" si="16"/>
        <v>392.94</v>
      </c>
      <c r="F190" s="13" t="s">
        <v>348</v>
      </c>
      <c r="G190" s="13" t="s">
        <v>9</v>
      </c>
      <c r="H190" s="14">
        <v>0</v>
      </c>
      <c r="I190" s="16">
        <f t="shared" si="18"/>
        <v>0</v>
      </c>
      <c r="J190" s="14" t="e">
        <f t="shared" si="17"/>
        <v>#DIV/0!</v>
      </c>
      <c r="K190" s="13"/>
      <c r="L190" s="13"/>
      <c r="M190" s="13"/>
    </row>
    <row r="191" spans="1:13" hidden="1" x14ac:dyDescent="0.3">
      <c r="A191" s="5" t="s">
        <v>349</v>
      </c>
      <c r="B191" s="5" t="s">
        <v>347</v>
      </c>
      <c r="C191" s="5">
        <v>1</v>
      </c>
      <c r="D191" s="6">
        <v>700.43</v>
      </c>
      <c r="E191" s="7">
        <f t="shared" si="16"/>
        <v>700.43</v>
      </c>
      <c r="F191" s="5" t="s">
        <v>350</v>
      </c>
      <c r="G191" s="5" t="s">
        <v>9</v>
      </c>
      <c r="H191" s="6">
        <v>1</v>
      </c>
      <c r="I191" s="8">
        <f t="shared" si="18"/>
        <v>0.16666666666666666</v>
      </c>
      <c r="J191" s="6">
        <f t="shared" si="17"/>
        <v>6</v>
      </c>
      <c r="K191" s="5"/>
      <c r="L191" s="5"/>
      <c r="M191" s="5"/>
    </row>
    <row r="192" spans="1:13" hidden="1" x14ac:dyDescent="0.3">
      <c r="A192" s="5" t="s">
        <v>351</v>
      </c>
      <c r="B192" s="5" t="s">
        <v>347</v>
      </c>
      <c r="C192" s="5">
        <v>1</v>
      </c>
      <c r="D192" s="6">
        <v>734.05</v>
      </c>
      <c r="E192" s="7">
        <f t="shared" si="16"/>
        <v>734.05</v>
      </c>
      <c r="F192" s="5" t="s">
        <v>352</v>
      </c>
      <c r="G192" s="5" t="s">
        <v>9</v>
      </c>
      <c r="H192" s="6">
        <v>2</v>
      </c>
      <c r="I192" s="8">
        <f t="shared" si="18"/>
        <v>0.33333333333333331</v>
      </c>
      <c r="J192" s="6">
        <f t="shared" si="17"/>
        <v>3</v>
      </c>
      <c r="K192" s="5"/>
      <c r="L192" s="5"/>
      <c r="M192" s="5"/>
    </row>
    <row r="193" spans="1:13" hidden="1" x14ac:dyDescent="0.3">
      <c r="A193" s="9" t="s">
        <v>353</v>
      </c>
      <c r="B193" s="9" t="s">
        <v>347</v>
      </c>
      <c r="C193" s="9">
        <v>1</v>
      </c>
      <c r="D193" s="10">
        <v>734.05</v>
      </c>
      <c r="E193" s="11">
        <f t="shared" si="16"/>
        <v>734.05</v>
      </c>
      <c r="F193" s="9" t="s">
        <v>354</v>
      </c>
      <c r="G193" s="9" t="s">
        <v>9</v>
      </c>
      <c r="H193" s="10">
        <v>0</v>
      </c>
      <c r="I193" s="12">
        <f t="shared" si="18"/>
        <v>0</v>
      </c>
      <c r="J193" s="10" t="e">
        <f t="shared" si="17"/>
        <v>#DIV/0!</v>
      </c>
      <c r="K193" s="9"/>
      <c r="L193" s="9"/>
      <c r="M193" s="9"/>
    </row>
    <row r="194" spans="1:13" hidden="1" x14ac:dyDescent="0.3">
      <c r="A194" s="5" t="s">
        <v>355</v>
      </c>
      <c r="B194" s="5" t="s">
        <v>347</v>
      </c>
      <c r="C194" s="5">
        <v>1</v>
      </c>
      <c r="D194" s="6">
        <v>941.38</v>
      </c>
      <c r="E194" s="7">
        <f t="shared" si="16"/>
        <v>941.38</v>
      </c>
      <c r="F194" s="5" t="s">
        <v>356</v>
      </c>
      <c r="G194" s="5" t="s">
        <v>9</v>
      </c>
      <c r="H194" s="6">
        <v>2</v>
      </c>
      <c r="I194" s="8">
        <f t="shared" si="18"/>
        <v>0.33333333333333331</v>
      </c>
      <c r="J194" s="6">
        <f t="shared" si="17"/>
        <v>3</v>
      </c>
      <c r="K194" s="5"/>
      <c r="L194" s="5"/>
      <c r="M194" s="5"/>
    </row>
    <row r="195" spans="1:13" hidden="1" x14ac:dyDescent="0.3">
      <c r="A195" s="5" t="s">
        <v>357</v>
      </c>
      <c r="B195" s="5" t="s">
        <v>347</v>
      </c>
      <c r="C195" s="5">
        <v>1</v>
      </c>
      <c r="D195" s="6">
        <v>930.17</v>
      </c>
      <c r="E195" s="7">
        <f t="shared" si="16"/>
        <v>930.17</v>
      </c>
      <c r="F195" s="5" t="s">
        <v>358</v>
      </c>
      <c r="G195" s="5" t="s">
        <v>9</v>
      </c>
      <c r="H195" s="6">
        <v>1</v>
      </c>
      <c r="I195" s="8">
        <f t="shared" si="18"/>
        <v>0.16666666666666666</v>
      </c>
      <c r="J195" s="6">
        <f t="shared" si="17"/>
        <v>6</v>
      </c>
      <c r="K195" s="5"/>
      <c r="L195" s="5"/>
      <c r="M195" s="5"/>
    </row>
    <row r="196" spans="1:13" hidden="1" x14ac:dyDescent="0.3">
      <c r="A196" s="5" t="s">
        <v>359</v>
      </c>
      <c r="B196" s="5" t="s">
        <v>347</v>
      </c>
      <c r="C196" s="5">
        <v>1</v>
      </c>
      <c r="D196" s="6">
        <v>1400.86</v>
      </c>
      <c r="E196" s="7">
        <f t="shared" si="16"/>
        <v>1400.86</v>
      </c>
      <c r="F196" s="5" t="s">
        <v>360</v>
      </c>
      <c r="G196" s="5" t="s">
        <v>9</v>
      </c>
      <c r="H196" s="6">
        <v>1</v>
      </c>
      <c r="I196" s="8">
        <f t="shared" si="18"/>
        <v>0.16666666666666666</v>
      </c>
      <c r="J196" s="6">
        <f t="shared" si="17"/>
        <v>6</v>
      </c>
      <c r="K196" s="5"/>
      <c r="L196" s="5"/>
      <c r="M196" s="5"/>
    </row>
    <row r="197" spans="1:13" hidden="1" x14ac:dyDescent="0.3">
      <c r="A197" s="5" t="s">
        <v>361</v>
      </c>
      <c r="B197" s="5" t="s">
        <v>347</v>
      </c>
      <c r="C197" s="5">
        <v>1</v>
      </c>
      <c r="D197" s="6">
        <v>369.83</v>
      </c>
      <c r="E197" s="7">
        <f t="shared" si="16"/>
        <v>369.83</v>
      </c>
      <c r="F197" s="5" t="s">
        <v>362</v>
      </c>
      <c r="G197" s="5" t="s">
        <v>9</v>
      </c>
      <c r="H197" s="6">
        <v>5</v>
      </c>
      <c r="I197" s="8">
        <f t="shared" si="18"/>
        <v>0.83333333333333337</v>
      </c>
      <c r="J197" s="6">
        <f t="shared" si="17"/>
        <v>1.2</v>
      </c>
      <c r="K197" s="5"/>
      <c r="L197" s="5"/>
      <c r="M197" s="5"/>
    </row>
    <row r="198" spans="1:13" hidden="1" x14ac:dyDescent="0.3">
      <c r="A198" s="13" t="s">
        <v>363</v>
      </c>
      <c r="B198" s="13" t="s">
        <v>347</v>
      </c>
      <c r="C198" s="13">
        <v>1</v>
      </c>
      <c r="D198" s="14">
        <v>459.48</v>
      </c>
      <c r="E198" s="15">
        <f t="shared" si="16"/>
        <v>459.48</v>
      </c>
      <c r="F198" s="13" t="s">
        <v>364</v>
      </c>
      <c r="G198" s="13" t="s">
        <v>9</v>
      </c>
      <c r="H198" s="14">
        <v>0</v>
      </c>
      <c r="I198" s="16">
        <f t="shared" si="18"/>
        <v>0</v>
      </c>
      <c r="J198" s="14" t="e">
        <f t="shared" si="17"/>
        <v>#DIV/0!</v>
      </c>
      <c r="K198" s="13"/>
      <c r="L198" s="13"/>
      <c r="M198" s="13"/>
    </row>
    <row r="199" spans="1:13" hidden="1" x14ac:dyDescent="0.3">
      <c r="A199" s="5" t="s">
        <v>365</v>
      </c>
      <c r="B199" s="5" t="s">
        <v>347</v>
      </c>
      <c r="C199" s="5">
        <v>1</v>
      </c>
      <c r="D199" s="6">
        <v>465.09</v>
      </c>
      <c r="E199" s="7">
        <f t="shared" si="16"/>
        <v>465.09</v>
      </c>
      <c r="F199" s="5" t="s">
        <v>366</v>
      </c>
      <c r="G199" s="5" t="s">
        <v>9</v>
      </c>
      <c r="H199" s="6">
        <v>5</v>
      </c>
      <c r="I199" s="8">
        <f t="shared" si="18"/>
        <v>0.83333333333333337</v>
      </c>
      <c r="J199" s="6">
        <f t="shared" si="17"/>
        <v>1.2</v>
      </c>
      <c r="K199" s="5"/>
      <c r="L199" s="5"/>
      <c r="M199" s="5"/>
    </row>
    <row r="200" spans="1:13" hidden="1" x14ac:dyDescent="0.3">
      <c r="A200" s="5" t="s">
        <v>367</v>
      </c>
      <c r="B200" s="5" t="s">
        <v>368</v>
      </c>
      <c r="C200" s="5">
        <v>5</v>
      </c>
      <c r="D200" s="6">
        <v>12917.434999999999</v>
      </c>
      <c r="E200" s="7">
        <f t="shared" si="16"/>
        <v>64587.174999999996</v>
      </c>
      <c r="F200" s="5" t="s">
        <v>369</v>
      </c>
      <c r="G200" s="5" t="s">
        <v>9</v>
      </c>
      <c r="H200" s="6">
        <v>5</v>
      </c>
      <c r="I200" s="8">
        <f>+H200/5</f>
        <v>1</v>
      </c>
      <c r="J200" s="6">
        <f t="shared" si="17"/>
        <v>5</v>
      </c>
      <c r="K200" s="5"/>
      <c r="L200" s="18">
        <v>45930</v>
      </c>
      <c r="M200" s="5" t="s">
        <v>673</v>
      </c>
    </row>
    <row r="201" spans="1:13" hidden="1" x14ac:dyDescent="0.3">
      <c r="A201" s="5" t="s">
        <v>370</v>
      </c>
      <c r="B201" s="5" t="s">
        <v>368</v>
      </c>
      <c r="C201" s="5">
        <v>16</v>
      </c>
      <c r="D201" s="6">
        <v>722.64649999999995</v>
      </c>
      <c r="E201" s="7">
        <f t="shared" si="16"/>
        <v>11562.343999999999</v>
      </c>
      <c r="F201" s="5" t="s">
        <v>371</v>
      </c>
      <c r="G201" s="5" t="s">
        <v>9</v>
      </c>
      <c r="H201" s="6">
        <v>4</v>
      </c>
      <c r="I201" s="8">
        <f>+H201/3</f>
        <v>1.3333333333333333</v>
      </c>
      <c r="J201" s="6">
        <f t="shared" si="17"/>
        <v>12</v>
      </c>
      <c r="K201" s="5"/>
      <c r="L201" s="5"/>
      <c r="M201" s="5" t="s">
        <v>673</v>
      </c>
    </row>
    <row r="202" spans="1:13" hidden="1" x14ac:dyDescent="0.3">
      <c r="A202" s="5" t="s">
        <v>372</v>
      </c>
      <c r="B202" s="5" t="s">
        <v>368</v>
      </c>
      <c r="C202" s="5">
        <v>5</v>
      </c>
      <c r="D202" s="6">
        <v>3609.4650000000001</v>
      </c>
      <c r="E202" s="7">
        <f t="shared" si="16"/>
        <v>18047.325000000001</v>
      </c>
      <c r="F202" s="5" t="s">
        <v>373</v>
      </c>
      <c r="G202" s="5" t="s">
        <v>9</v>
      </c>
      <c r="H202" s="6">
        <v>6</v>
      </c>
      <c r="I202" s="8">
        <f t="shared" ref="I202:I213" si="19">+H202/6</f>
        <v>1</v>
      </c>
      <c r="J202" s="6">
        <f t="shared" si="17"/>
        <v>5</v>
      </c>
      <c r="K202" s="5"/>
      <c r="L202" s="5"/>
      <c r="M202" s="5"/>
    </row>
    <row r="203" spans="1:13" hidden="1" x14ac:dyDescent="0.3">
      <c r="A203" s="5" t="s">
        <v>374</v>
      </c>
      <c r="B203" s="5" t="s">
        <v>368</v>
      </c>
      <c r="C203" s="5">
        <v>1</v>
      </c>
      <c r="D203" s="6">
        <v>5657.9742712099996</v>
      </c>
      <c r="E203" s="7">
        <f t="shared" si="16"/>
        <v>5657.9742712099996</v>
      </c>
      <c r="F203" s="5" t="s">
        <v>375</v>
      </c>
      <c r="G203" s="5" t="s">
        <v>9</v>
      </c>
      <c r="H203" s="6">
        <v>0</v>
      </c>
      <c r="I203" s="8">
        <f t="shared" si="19"/>
        <v>0</v>
      </c>
      <c r="J203" s="6" t="e">
        <f t="shared" si="17"/>
        <v>#DIV/0!</v>
      </c>
      <c r="K203" s="5"/>
      <c r="L203" s="5"/>
      <c r="M203" s="5"/>
    </row>
    <row r="204" spans="1:13" hidden="1" x14ac:dyDescent="0.3">
      <c r="A204" s="5" t="s">
        <v>376</v>
      </c>
      <c r="B204" s="5" t="s">
        <v>368</v>
      </c>
      <c r="C204" s="5">
        <v>29</v>
      </c>
      <c r="D204" s="6">
        <v>5569.2191378500002</v>
      </c>
      <c r="E204" s="7">
        <f t="shared" si="16"/>
        <v>161507.35499764999</v>
      </c>
      <c r="F204" s="5" t="s">
        <v>377</v>
      </c>
      <c r="G204" s="5" t="s">
        <v>9</v>
      </c>
      <c r="H204" s="6">
        <v>61</v>
      </c>
      <c r="I204" s="8">
        <f t="shared" si="19"/>
        <v>10.166666666666666</v>
      </c>
      <c r="J204" s="6">
        <f t="shared" si="17"/>
        <v>2.8524590163934427</v>
      </c>
      <c r="K204" s="5"/>
      <c r="L204" s="5"/>
      <c r="M204" s="5"/>
    </row>
    <row r="205" spans="1:13" hidden="1" x14ac:dyDescent="0.3">
      <c r="A205" s="9" t="s">
        <v>378</v>
      </c>
      <c r="B205" s="9" t="s">
        <v>368</v>
      </c>
      <c r="C205" s="9">
        <v>3</v>
      </c>
      <c r="D205" s="10">
        <v>23130.023700000002</v>
      </c>
      <c r="E205" s="11">
        <f t="shared" si="16"/>
        <v>69390.071100000001</v>
      </c>
      <c r="F205" s="9" t="s">
        <v>379</v>
      </c>
      <c r="G205" s="9" t="s">
        <v>9</v>
      </c>
      <c r="H205" s="10">
        <v>0</v>
      </c>
      <c r="I205" s="12">
        <f t="shared" si="19"/>
        <v>0</v>
      </c>
      <c r="J205" s="10" t="e">
        <f t="shared" si="17"/>
        <v>#DIV/0!</v>
      </c>
      <c r="K205" s="9"/>
      <c r="L205" s="9"/>
      <c r="M205" s="9" t="s">
        <v>674</v>
      </c>
    </row>
    <row r="206" spans="1:13" hidden="1" x14ac:dyDescent="0.3">
      <c r="A206" s="5" t="s">
        <v>380</v>
      </c>
      <c r="B206" s="5" t="s">
        <v>368</v>
      </c>
      <c r="C206" s="5">
        <v>7</v>
      </c>
      <c r="D206" s="6">
        <v>1107</v>
      </c>
      <c r="E206" s="7">
        <f t="shared" si="16"/>
        <v>7749</v>
      </c>
      <c r="F206" s="5" t="s">
        <v>381</v>
      </c>
      <c r="G206" s="5" t="s">
        <v>9</v>
      </c>
      <c r="H206" s="6">
        <v>0</v>
      </c>
      <c r="I206" s="8">
        <f t="shared" si="19"/>
        <v>0</v>
      </c>
      <c r="J206" s="6" t="e">
        <f t="shared" si="17"/>
        <v>#DIV/0!</v>
      </c>
      <c r="K206" s="5"/>
      <c r="L206" s="5"/>
      <c r="M206" s="5" t="s">
        <v>676</v>
      </c>
    </row>
    <row r="207" spans="1:13" hidden="1" x14ac:dyDescent="0.3">
      <c r="A207" s="5" t="s">
        <v>382</v>
      </c>
      <c r="B207" s="5" t="s">
        <v>368</v>
      </c>
      <c r="C207" s="5">
        <v>9</v>
      </c>
      <c r="D207" s="6">
        <v>21.254999999999999</v>
      </c>
      <c r="E207" s="7">
        <f t="shared" si="16"/>
        <v>191.29499999999999</v>
      </c>
      <c r="F207" s="5" t="s">
        <v>383</v>
      </c>
      <c r="G207" s="5" t="s">
        <v>9</v>
      </c>
      <c r="H207" s="6">
        <v>0</v>
      </c>
      <c r="I207" s="8">
        <f t="shared" si="19"/>
        <v>0</v>
      </c>
      <c r="J207" s="6" t="e">
        <f t="shared" si="17"/>
        <v>#DIV/0!</v>
      </c>
      <c r="K207" s="5"/>
      <c r="L207" s="5"/>
      <c r="M207" s="5" t="s">
        <v>676</v>
      </c>
    </row>
    <row r="208" spans="1:13" hidden="1" x14ac:dyDescent="0.3">
      <c r="A208" s="5" t="s">
        <v>384</v>
      </c>
      <c r="B208" s="5" t="s">
        <v>368</v>
      </c>
      <c r="C208" s="5">
        <v>14</v>
      </c>
      <c r="D208" s="6">
        <v>2234.5</v>
      </c>
      <c r="E208" s="7">
        <f t="shared" si="16"/>
        <v>31283</v>
      </c>
      <c r="F208" s="5" t="s">
        <v>385</v>
      </c>
      <c r="G208" s="5" t="s">
        <v>9</v>
      </c>
      <c r="H208" s="6">
        <v>8</v>
      </c>
      <c r="I208" s="8">
        <f t="shared" si="19"/>
        <v>1.3333333333333333</v>
      </c>
      <c r="J208" s="6">
        <f t="shared" si="17"/>
        <v>10.5</v>
      </c>
      <c r="K208" s="5"/>
      <c r="L208" s="5"/>
      <c r="M208" s="5" t="s">
        <v>676</v>
      </c>
    </row>
    <row r="209" spans="1:13" hidden="1" x14ac:dyDescent="0.3">
      <c r="A209" s="5" t="s">
        <v>386</v>
      </c>
      <c r="B209" s="5" t="s">
        <v>368</v>
      </c>
      <c r="C209" s="5">
        <v>9</v>
      </c>
      <c r="D209" s="6">
        <v>1107</v>
      </c>
      <c r="E209" s="7">
        <f t="shared" si="16"/>
        <v>9963</v>
      </c>
      <c r="F209" s="5" t="s">
        <v>387</v>
      </c>
      <c r="G209" s="5" t="s">
        <v>9</v>
      </c>
      <c r="H209" s="6">
        <v>0</v>
      </c>
      <c r="I209" s="8">
        <f t="shared" si="19"/>
        <v>0</v>
      </c>
      <c r="J209" s="6" t="e">
        <f t="shared" si="17"/>
        <v>#DIV/0!</v>
      </c>
      <c r="K209" s="5"/>
      <c r="L209" s="5"/>
      <c r="M209" s="5" t="s">
        <v>676</v>
      </c>
    </row>
    <row r="210" spans="1:13" hidden="1" x14ac:dyDescent="0.3">
      <c r="A210" s="5" t="s">
        <v>388</v>
      </c>
      <c r="B210" s="5" t="s">
        <v>368</v>
      </c>
      <c r="C210" s="5">
        <v>9</v>
      </c>
      <c r="D210" s="6">
        <v>2575.0754545499999</v>
      </c>
      <c r="E210" s="7">
        <f t="shared" si="16"/>
        <v>23175.679090949998</v>
      </c>
      <c r="F210" s="5" t="s">
        <v>389</v>
      </c>
      <c r="G210" s="5" t="s">
        <v>9</v>
      </c>
      <c r="H210" s="6">
        <v>8</v>
      </c>
      <c r="I210" s="8">
        <f t="shared" si="19"/>
        <v>1.3333333333333333</v>
      </c>
      <c r="J210" s="6">
        <f t="shared" si="17"/>
        <v>6.75</v>
      </c>
      <c r="K210" s="5"/>
      <c r="L210" s="5"/>
      <c r="M210" s="5"/>
    </row>
    <row r="211" spans="1:13" hidden="1" x14ac:dyDescent="0.3">
      <c r="A211" s="5" t="s">
        <v>390</v>
      </c>
      <c r="B211" s="5" t="s">
        <v>368</v>
      </c>
      <c r="C211" s="5">
        <v>4</v>
      </c>
      <c r="D211" s="6">
        <v>2220.9499999999998</v>
      </c>
      <c r="E211" s="7">
        <f t="shared" si="16"/>
        <v>8883.7999999999993</v>
      </c>
      <c r="F211" s="5" t="s">
        <v>391</v>
      </c>
      <c r="G211" s="5" t="s">
        <v>9</v>
      </c>
      <c r="H211" s="6">
        <v>14</v>
      </c>
      <c r="I211" s="8">
        <f t="shared" si="19"/>
        <v>2.3333333333333335</v>
      </c>
      <c r="J211" s="6">
        <f t="shared" si="17"/>
        <v>1.7142857142857142</v>
      </c>
      <c r="K211" s="5"/>
      <c r="L211" s="5"/>
      <c r="M211" s="5"/>
    </row>
    <row r="212" spans="1:13" hidden="1" x14ac:dyDescent="0.3">
      <c r="A212" s="5" t="s">
        <v>392</v>
      </c>
      <c r="B212" s="5" t="s">
        <v>368</v>
      </c>
      <c r="C212" s="5">
        <v>6</v>
      </c>
      <c r="D212" s="6">
        <v>15032.712900979999</v>
      </c>
      <c r="E212" s="7">
        <f t="shared" si="16"/>
        <v>90196.277405879999</v>
      </c>
      <c r="F212" s="5" t="s">
        <v>393</v>
      </c>
      <c r="G212" s="5" t="s">
        <v>9</v>
      </c>
      <c r="H212" s="6">
        <v>6</v>
      </c>
      <c r="I212" s="8">
        <f t="shared" si="19"/>
        <v>1</v>
      </c>
      <c r="J212" s="6">
        <f t="shared" si="17"/>
        <v>6</v>
      </c>
      <c r="K212" s="5"/>
      <c r="L212" s="5"/>
      <c r="M212" s="5"/>
    </row>
    <row r="213" spans="1:13" hidden="1" x14ac:dyDescent="0.3">
      <c r="A213" s="9" t="s">
        <v>392</v>
      </c>
      <c r="B213" s="9" t="s">
        <v>368</v>
      </c>
      <c r="C213" s="9">
        <f>20+15-6</f>
        <v>29</v>
      </c>
      <c r="D213" s="10">
        <v>15032.712900979999</v>
      </c>
      <c r="E213" s="11">
        <f t="shared" si="16"/>
        <v>435948.67412841995</v>
      </c>
      <c r="F213" s="9" t="s">
        <v>393</v>
      </c>
      <c r="G213" s="9" t="s">
        <v>9</v>
      </c>
      <c r="H213" s="10">
        <v>6</v>
      </c>
      <c r="I213" s="12">
        <f t="shared" si="19"/>
        <v>1</v>
      </c>
      <c r="J213" s="10">
        <f t="shared" si="17"/>
        <v>29</v>
      </c>
      <c r="K213" s="9"/>
      <c r="L213" s="9"/>
      <c r="M213" s="9"/>
    </row>
    <row r="214" spans="1:13" hidden="1" x14ac:dyDescent="0.3">
      <c r="A214" s="5" t="s">
        <v>394</v>
      </c>
      <c r="B214" s="5" t="s">
        <v>368</v>
      </c>
      <c r="C214" s="5">
        <v>1</v>
      </c>
      <c r="D214" s="6">
        <v>16851.948799999998</v>
      </c>
      <c r="E214" s="7">
        <f t="shared" si="16"/>
        <v>16851.948799999998</v>
      </c>
      <c r="F214" s="5" t="s">
        <v>395</v>
      </c>
      <c r="G214" s="5" t="s">
        <v>9</v>
      </c>
      <c r="H214" s="6">
        <v>2</v>
      </c>
      <c r="I214" s="8">
        <f>+H214/0.1</f>
        <v>20</v>
      </c>
      <c r="J214" s="6">
        <f t="shared" si="17"/>
        <v>0.05</v>
      </c>
      <c r="K214" s="5"/>
      <c r="L214" s="5"/>
      <c r="M214" s="5"/>
    </row>
    <row r="215" spans="1:13" hidden="1" x14ac:dyDescent="0.3">
      <c r="A215" s="5" t="s">
        <v>396</v>
      </c>
      <c r="B215" s="5" t="s">
        <v>368</v>
      </c>
      <c r="C215" s="5">
        <v>1</v>
      </c>
      <c r="D215" s="6">
        <v>17629.731</v>
      </c>
      <c r="E215" s="7">
        <f t="shared" si="16"/>
        <v>17629.731</v>
      </c>
      <c r="F215" s="5" t="s">
        <v>397</v>
      </c>
      <c r="G215" s="5" t="s">
        <v>9</v>
      </c>
      <c r="H215" s="6">
        <v>5</v>
      </c>
      <c r="I215" s="8">
        <f>+H215/2</f>
        <v>2.5</v>
      </c>
      <c r="J215" s="6">
        <f t="shared" si="17"/>
        <v>0.4</v>
      </c>
      <c r="K215" s="5"/>
      <c r="L215" s="5"/>
      <c r="M215" s="5"/>
    </row>
    <row r="216" spans="1:13" hidden="1" x14ac:dyDescent="0.3">
      <c r="A216" s="13" t="s">
        <v>398</v>
      </c>
      <c r="B216" s="13" t="s">
        <v>399</v>
      </c>
      <c r="C216" s="13">
        <v>1</v>
      </c>
      <c r="D216" s="14">
        <v>1858.45815416</v>
      </c>
      <c r="E216" s="15">
        <f t="shared" si="16"/>
        <v>1858.45815416</v>
      </c>
      <c r="F216" s="13" t="s">
        <v>400</v>
      </c>
      <c r="G216" s="13" t="s">
        <v>9</v>
      </c>
      <c r="H216" s="14">
        <v>0</v>
      </c>
      <c r="I216" s="16">
        <f t="shared" ref="I216:I229" si="20">+H216/6</f>
        <v>0</v>
      </c>
      <c r="J216" s="14" t="e">
        <f t="shared" si="17"/>
        <v>#DIV/0!</v>
      </c>
      <c r="K216" s="13"/>
      <c r="L216" s="13"/>
      <c r="M216" s="13"/>
    </row>
    <row r="217" spans="1:13" hidden="1" x14ac:dyDescent="0.3">
      <c r="A217" s="13" t="s">
        <v>401</v>
      </c>
      <c r="B217" s="13" t="s">
        <v>402</v>
      </c>
      <c r="C217" s="13">
        <v>5</v>
      </c>
      <c r="D217" s="14">
        <v>57</v>
      </c>
      <c r="E217" s="15">
        <f t="shared" si="16"/>
        <v>285</v>
      </c>
      <c r="F217" s="13" t="s">
        <v>403</v>
      </c>
      <c r="G217" s="13" t="s">
        <v>9</v>
      </c>
      <c r="H217" s="14">
        <v>0</v>
      </c>
      <c r="I217" s="16">
        <f t="shared" si="20"/>
        <v>0</v>
      </c>
      <c r="J217" s="14" t="e">
        <f t="shared" si="17"/>
        <v>#DIV/0!</v>
      </c>
      <c r="K217" s="13"/>
      <c r="L217" s="13"/>
      <c r="M217" s="13"/>
    </row>
    <row r="218" spans="1:13" hidden="1" x14ac:dyDescent="0.3">
      <c r="A218" s="5" t="s">
        <v>404</v>
      </c>
      <c r="B218" s="5" t="s">
        <v>402</v>
      </c>
      <c r="C218" s="5">
        <v>4</v>
      </c>
      <c r="D218" s="6">
        <v>143.1</v>
      </c>
      <c r="E218" s="7">
        <f t="shared" si="16"/>
        <v>572.4</v>
      </c>
      <c r="F218" s="5" t="s">
        <v>405</v>
      </c>
      <c r="G218" s="5" t="s">
        <v>9</v>
      </c>
      <c r="H218" s="6">
        <v>26</v>
      </c>
      <c r="I218" s="8">
        <f t="shared" si="20"/>
        <v>4.333333333333333</v>
      </c>
      <c r="J218" s="6">
        <f t="shared" si="17"/>
        <v>0.92307692307692313</v>
      </c>
      <c r="K218" s="5"/>
      <c r="L218" s="5"/>
      <c r="M218" s="5"/>
    </row>
    <row r="219" spans="1:13" hidden="1" x14ac:dyDescent="0.3">
      <c r="A219" s="5" t="s">
        <v>406</v>
      </c>
      <c r="B219" s="5" t="s">
        <v>402</v>
      </c>
      <c r="C219" s="5">
        <v>5</v>
      </c>
      <c r="D219" s="6">
        <v>143.10079999999999</v>
      </c>
      <c r="E219" s="7">
        <f t="shared" si="16"/>
        <v>715.50399999999991</v>
      </c>
      <c r="F219" s="5" t="s">
        <v>407</v>
      </c>
      <c r="G219" s="5" t="s">
        <v>9</v>
      </c>
      <c r="H219" s="6">
        <v>5</v>
      </c>
      <c r="I219" s="8">
        <f t="shared" si="20"/>
        <v>0.83333333333333337</v>
      </c>
      <c r="J219" s="6">
        <f t="shared" si="17"/>
        <v>6</v>
      </c>
      <c r="K219" s="5"/>
      <c r="L219" s="5"/>
      <c r="M219" s="5"/>
    </row>
    <row r="220" spans="1:13" hidden="1" x14ac:dyDescent="0.3">
      <c r="A220" s="9" t="s">
        <v>406</v>
      </c>
      <c r="B220" s="9" t="s">
        <v>402</v>
      </c>
      <c r="C220" s="9">
        <f>9-5</f>
        <v>4</v>
      </c>
      <c r="D220" s="10">
        <v>143.10079999999999</v>
      </c>
      <c r="E220" s="11">
        <f t="shared" ref="E220:E283" si="21">+C220*D220</f>
        <v>572.40319999999997</v>
      </c>
      <c r="F220" s="9" t="s">
        <v>407</v>
      </c>
      <c r="G220" s="9" t="s">
        <v>9</v>
      </c>
      <c r="H220" s="10">
        <v>5</v>
      </c>
      <c r="I220" s="12">
        <f t="shared" si="20"/>
        <v>0.83333333333333337</v>
      </c>
      <c r="J220" s="10">
        <f t="shared" ref="J220:J283" si="22">+C220/I220</f>
        <v>4.8</v>
      </c>
      <c r="K220" s="9"/>
      <c r="L220" s="9"/>
      <c r="M220" s="9"/>
    </row>
    <row r="221" spans="1:13" hidden="1" x14ac:dyDescent="0.3">
      <c r="A221" s="5" t="s">
        <v>408</v>
      </c>
      <c r="B221" s="5" t="s">
        <v>402</v>
      </c>
      <c r="C221" s="5">
        <v>8</v>
      </c>
      <c r="D221" s="6">
        <v>45.689599999999999</v>
      </c>
      <c r="E221" s="7">
        <f t="shared" si="21"/>
        <v>365.51679999999999</v>
      </c>
      <c r="F221" s="5" t="s">
        <v>409</v>
      </c>
      <c r="G221" s="5" t="s">
        <v>9</v>
      </c>
      <c r="H221" s="6">
        <v>11</v>
      </c>
      <c r="I221" s="8">
        <f t="shared" si="20"/>
        <v>1.8333333333333333</v>
      </c>
      <c r="J221" s="6">
        <f t="shared" si="22"/>
        <v>4.3636363636363642</v>
      </c>
      <c r="K221" s="5"/>
      <c r="L221" s="5"/>
      <c r="M221" s="5"/>
    </row>
    <row r="222" spans="1:13" hidden="1" x14ac:dyDescent="0.3">
      <c r="A222" s="5" t="s">
        <v>410</v>
      </c>
      <c r="B222" s="5" t="s">
        <v>402</v>
      </c>
      <c r="C222" s="5">
        <v>7</v>
      </c>
      <c r="D222" s="6">
        <v>37.930999999999997</v>
      </c>
      <c r="E222" s="7">
        <f t="shared" si="21"/>
        <v>265.517</v>
      </c>
      <c r="F222" s="5" t="s">
        <v>411</v>
      </c>
      <c r="G222" s="5" t="s">
        <v>9</v>
      </c>
      <c r="H222" s="6">
        <v>43</v>
      </c>
      <c r="I222" s="8">
        <f t="shared" si="20"/>
        <v>7.166666666666667</v>
      </c>
      <c r="J222" s="6">
        <f t="shared" si="22"/>
        <v>0.97674418604651159</v>
      </c>
      <c r="K222" s="5"/>
      <c r="L222" s="5"/>
      <c r="M222" s="5"/>
    </row>
    <row r="223" spans="1:13" hidden="1" x14ac:dyDescent="0.3">
      <c r="A223" s="5" t="s">
        <v>412</v>
      </c>
      <c r="B223" s="5" t="s">
        <v>402</v>
      </c>
      <c r="C223" s="5">
        <v>1</v>
      </c>
      <c r="D223" s="6">
        <v>118.54800066</v>
      </c>
      <c r="E223" s="7">
        <f t="shared" si="21"/>
        <v>118.54800066</v>
      </c>
      <c r="F223" s="5" t="s">
        <v>413</v>
      </c>
      <c r="G223" s="5" t="s">
        <v>9</v>
      </c>
      <c r="H223" s="6">
        <v>27</v>
      </c>
      <c r="I223" s="8">
        <f t="shared" si="20"/>
        <v>4.5</v>
      </c>
      <c r="J223" s="6">
        <f t="shared" si="22"/>
        <v>0.22222222222222221</v>
      </c>
      <c r="K223" s="5"/>
      <c r="L223" s="5"/>
      <c r="M223" s="5"/>
    </row>
    <row r="224" spans="1:13" hidden="1" x14ac:dyDescent="0.3">
      <c r="A224" s="13" t="s">
        <v>414</v>
      </c>
      <c r="B224" s="13" t="s">
        <v>415</v>
      </c>
      <c r="C224" s="13">
        <v>6</v>
      </c>
      <c r="D224" s="14">
        <v>1144</v>
      </c>
      <c r="E224" s="15">
        <f t="shared" si="21"/>
        <v>6864</v>
      </c>
      <c r="F224" s="13" t="s">
        <v>416</v>
      </c>
      <c r="G224" s="13" t="s">
        <v>9</v>
      </c>
      <c r="H224" s="14">
        <v>0</v>
      </c>
      <c r="I224" s="16">
        <f t="shared" si="20"/>
        <v>0</v>
      </c>
      <c r="J224" s="14" t="e">
        <f t="shared" si="22"/>
        <v>#DIV/0!</v>
      </c>
      <c r="K224" s="13"/>
      <c r="L224" s="13"/>
      <c r="M224" s="13"/>
    </row>
    <row r="225" spans="1:13" hidden="1" x14ac:dyDescent="0.3">
      <c r="A225" s="13" t="s">
        <v>417</v>
      </c>
      <c r="B225" s="13" t="s">
        <v>415</v>
      </c>
      <c r="C225" s="13">
        <v>1</v>
      </c>
      <c r="D225" s="14">
        <v>842.4</v>
      </c>
      <c r="E225" s="15">
        <f t="shared" si="21"/>
        <v>842.4</v>
      </c>
      <c r="F225" s="13" t="s">
        <v>418</v>
      </c>
      <c r="G225" s="13" t="s">
        <v>9</v>
      </c>
      <c r="H225" s="14">
        <v>0</v>
      </c>
      <c r="I225" s="16">
        <f t="shared" si="20"/>
        <v>0</v>
      </c>
      <c r="J225" s="14" t="e">
        <f t="shared" si="22"/>
        <v>#DIV/0!</v>
      </c>
      <c r="K225" s="13"/>
      <c r="L225" s="13"/>
      <c r="M225" s="13"/>
    </row>
    <row r="226" spans="1:13" hidden="1" x14ac:dyDescent="0.3">
      <c r="A226" s="13" t="s">
        <v>419</v>
      </c>
      <c r="B226" s="13" t="s">
        <v>415</v>
      </c>
      <c r="C226" s="13">
        <v>1</v>
      </c>
      <c r="D226" s="14">
        <v>1879.89</v>
      </c>
      <c r="E226" s="15">
        <f t="shared" si="21"/>
        <v>1879.89</v>
      </c>
      <c r="F226" s="13" t="s">
        <v>420</v>
      </c>
      <c r="G226" s="13" t="s">
        <v>9</v>
      </c>
      <c r="H226" s="14">
        <v>0</v>
      </c>
      <c r="I226" s="16">
        <f t="shared" si="20"/>
        <v>0</v>
      </c>
      <c r="J226" s="14" t="e">
        <f t="shared" si="22"/>
        <v>#DIV/0!</v>
      </c>
      <c r="K226" s="13"/>
      <c r="L226" s="13"/>
      <c r="M226" s="13"/>
    </row>
    <row r="227" spans="1:13" hidden="1" x14ac:dyDescent="0.3">
      <c r="A227" s="5" t="s">
        <v>421</v>
      </c>
      <c r="B227" s="5" t="s">
        <v>415</v>
      </c>
      <c r="C227" s="5">
        <v>1</v>
      </c>
      <c r="D227" s="6">
        <v>5210.9704000000002</v>
      </c>
      <c r="E227" s="7">
        <f t="shared" si="21"/>
        <v>5210.9704000000002</v>
      </c>
      <c r="F227" s="5" t="s">
        <v>422</v>
      </c>
      <c r="G227" s="5" t="s">
        <v>9</v>
      </c>
      <c r="H227" s="6">
        <v>2</v>
      </c>
      <c r="I227" s="8">
        <f t="shared" si="20"/>
        <v>0.33333333333333331</v>
      </c>
      <c r="J227" s="6">
        <f t="shared" si="22"/>
        <v>3</v>
      </c>
      <c r="K227" s="5"/>
      <c r="L227" s="5"/>
      <c r="M227" s="5"/>
    </row>
    <row r="228" spans="1:13" hidden="1" x14ac:dyDescent="0.3">
      <c r="A228" s="5" t="s">
        <v>423</v>
      </c>
      <c r="B228" s="5" t="s">
        <v>415</v>
      </c>
      <c r="C228" s="5">
        <v>6</v>
      </c>
      <c r="D228" s="6">
        <v>3660.3407330099999</v>
      </c>
      <c r="E228" s="7">
        <f t="shared" si="21"/>
        <v>21962.044398059999</v>
      </c>
      <c r="F228" s="5" t="s">
        <v>424</v>
      </c>
      <c r="G228" s="5" t="s">
        <v>9</v>
      </c>
      <c r="H228" s="6">
        <v>10</v>
      </c>
      <c r="I228" s="8">
        <f t="shared" si="20"/>
        <v>1.6666666666666667</v>
      </c>
      <c r="J228" s="6">
        <f t="shared" si="22"/>
        <v>3.5999999999999996</v>
      </c>
      <c r="K228" s="5"/>
      <c r="L228" s="5"/>
      <c r="M228" s="5"/>
    </row>
    <row r="229" spans="1:13" hidden="1" x14ac:dyDescent="0.3">
      <c r="A229" s="13" t="s">
        <v>425</v>
      </c>
      <c r="B229" s="13" t="s">
        <v>415</v>
      </c>
      <c r="C229" s="13">
        <v>1</v>
      </c>
      <c r="D229" s="14">
        <v>17630.601500000001</v>
      </c>
      <c r="E229" s="15">
        <f t="shared" si="21"/>
        <v>17630.601500000001</v>
      </c>
      <c r="F229" s="13" t="s">
        <v>426</v>
      </c>
      <c r="G229" s="13" t="s">
        <v>9</v>
      </c>
      <c r="H229" s="14">
        <v>0</v>
      </c>
      <c r="I229" s="16">
        <f t="shared" si="20"/>
        <v>0</v>
      </c>
      <c r="J229" s="14" t="e">
        <f t="shared" si="22"/>
        <v>#DIV/0!</v>
      </c>
      <c r="K229" s="13"/>
      <c r="L229" s="13"/>
      <c r="M229" s="13"/>
    </row>
    <row r="230" spans="1:13" hidden="1" x14ac:dyDescent="0.3">
      <c r="A230" s="13" t="s">
        <v>427</v>
      </c>
      <c r="B230" s="13" t="s">
        <v>415</v>
      </c>
      <c r="C230" s="13">
        <v>1</v>
      </c>
      <c r="D230" s="14">
        <v>3439.4344999999998</v>
      </c>
      <c r="E230" s="15">
        <f t="shared" si="21"/>
        <v>3439.4344999999998</v>
      </c>
      <c r="F230" s="13" t="s">
        <v>428</v>
      </c>
      <c r="G230" s="13" t="s">
        <v>9</v>
      </c>
      <c r="H230" s="14">
        <v>0</v>
      </c>
      <c r="I230" s="16">
        <f t="shared" ref="I230:I231" si="23">+H230/6</f>
        <v>0</v>
      </c>
      <c r="J230" s="14" t="e">
        <f t="shared" si="22"/>
        <v>#DIV/0!</v>
      </c>
      <c r="K230" s="13"/>
      <c r="L230" s="13"/>
      <c r="M230" s="13"/>
    </row>
    <row r="231" spans="1:13" hidden="1" x14ac:dyDescent="0.3">
      <c r="A231" s="13" t="s">
        <v>429</v>
      </c>
      <c r="B231" s="13" t="s">
        <v>415</v>
      </c>
      <c r="C231" s="13">
        <v>4</v>
      </c>
      <c r="D231" s="14">
        <v>2420.52</v>
      </c>
      <c r="E231" s="15">
        <f t="shared" si="21"/>
        <v>9682.08</v>
      </c>
      <c r="F231" s="13" t="s">
        <v>430</v>
      </c>
      <c r="G231" s="13" t="s">
        <v>9</v>
      </c>
      <c r="H231" s="14">
        <v>0</v>
      </c>
      <c r="I231" s="16">
        <f t="shared" si="23"/>
        <v>0</v>
      </c>
      <c r="J231" s="14" t="e">
        <f t="shared" si="22"/>
        <v>#DIV/0!</v>
      </c>
      <c r="K231" s="13"/>
      <c r="L231" s="13"/>
      <c r="M231" s="13"/>
    </row>
    <row r="232" spans="1:13" hidden="1" x14ac:dyDescent="0.3">
      <c r="A232" s="9" t="s">
        <v>431</v>
      </c>
      <c r="B232" s="9" t="s">
        <v>415</v>
      </c>
      <c r="C232" s="9">
        <v>2</v>
      </c>
      <c r="D232" s="10">
        <v>388.78181818000002</v>
      </c>
      <c r="E232" s="11">
        <f t="shared" si="21"/>
        <v>777.56363636000003</v>
      </c>
      <c r="F232" s="9" t="s">
        <v>432</v>
      </c>
      <c r="G232" s="9" t="s">
        <v>9</v>
      </c>
      <c r="H232" s="10">
        <v>1</v>
      </c>
      <c r="I232" s="12">
        <f>+H232/6</f>
        <v>0.16666666666666666</v>
      </c>
      <c r="J232" s="10">
        <f t="shared" si="22"/>
        <v>12</v>
      </c>
      <c r="K232" s="9"/>
      <c r="L232" s="9"/>
      <c r="M232" s="9"/>
    </row>
    <row r="233" spans="1:13" hidden="1" x14ac:dyDescent="0.3">
      <c r="A233" s="13" t="s">
        <v>433</v>
      </c>
      <c r="B233" s="13" t="s">
        <v>415</v>
      </c>
      <c r="C233" s="13">
        <v>1</v>
      </c>
      <c r="D233" s="14">
        <v>522.00149999999996</v>
      </c>
      <c r="E233" s="15">
        <f t="shared" si="21"/>
        <v>522.00149999999996</v>
      </c>
      <c r="F233" s="13" t="s">
        <v>434</v>
      </c>
      <c r="G233" s="13" t="s">
        <v>9</v>
      </c>
      <c r="H233" s="14">
        <v>0</v>
      </c>
      <c r="I233" s="16">
        <f>+H233/6</f>
        <v>0</v>
      </c>
      <c r="J233" s="14" t="e">
        <f t="shared" si="22"/>
        <v>#DIV/0!</v>
      </c>
      <c r="K233" s="13"/>
      <c r="L233" s="13"/>
      <c r="M233" s="13"/>
    </row>
    <row r="234" spans="1:13" hidden="1" x14ac:dyDescent="0.3">
      <c r="A234" s="5" t="s">
        <v>435</v>
      </c>
      <c r="B234" s="5" t="s">
        <v>415</v>
      </c>
      <c r="C234" s="5">
        <v>20</v>
      </c>
      <c r="D234" s="6">
        <v>1910.9139524300001</v>
      </c>
      <c r="E234" s="7">
        <f t="shared" si="21"/>
        <v>38218.279048600001</v>
      </c>
      <c r="F234" s="5" t="s">
        <v>436</v>
      </c>
      <c r="G234" s="5" t="s">
        <v>9</v>
      </c>
      <c r="H234" s="6">
        <v>28</v>
      </c>
      <c r="I234" s="8">
        <f>+H234/6</f>
        <v>4.666666666666667</v>
      </c>
      <c r="J234" s="6">
        <f t="shared" si="22"/>
        <v>4.2857142857142856</v>
      </c>
      <c r="K234" s="5"/>
      <c r="L234" s="5"/>
      <c r="M234" s="5"/>
    </row>
    <row r="235" spans="1:13" hidden="1" x14ac:dyDescent="0.3">
      <c r="A235" s="5" t="s">
        <v>437</v>
      </c>
      <c r="B235" s="5" t="s">
        <v>415</v>
      </c>
      <c r="C235" s="5">
        <v>23</v>
      </c>
      <c r="D235" s="6">
        <v>2238.0727004599999</v>
      </c>
      <c r="E235" s="7">
        <f t="shared" si="21"/>
        <v>51475.672110579995</v>
      </c>
      <c r="F235" s="5" t="s">
        <v>438</v>
      </c>
      <c r="G235" s="5" t="s">
        <v>9</v>
      </c>
      <c r="H235" s="6">
        <v>47</v>
      </c>
      <c r="I235" s="8">
        <f t="shared" ref="I235:I239" si="24">+H235/6</f>
        <v>7.833333333333333</v>
      </c>
      <c r="J235" s="6">
        <f t="shared" si="22"/>
        <v>2.9361702127659575</v>
      </c>
      <c r="K235" s="5"/>
      <c r="L235" s="5"/>
      <c r="M235" s="5"/>
    </row>
    <row r="236" spans="1:13" hidden="1" x14ac:dyDescent="0.3">
      <c r="A236" s="5" t="s">
        <v>439</v>
      </c>
      <c r="B236" s="5" t="s">
        <v>415</v>
      </c>
      <c r="C236" s="5">
        <v>6</v>
      </c>
      <c r="D236" s="6">
        <v>3641.22747166</v>
      </c>
      <c r="E236" s="7">
        <f t="shared" si="21"/>
        <v>21847.364829959999</v>
      </c>
      <c r="F236" s="5" t="s">
        <v>440</v>
      </c>
      <c r="G236" s="5" t="s">
        <v>9</v>
      </c>
      <c r="H236" s="6">
        <v>13</v>
      </c>
      <c r="I236" s="8">
        <f t="shared" si="24"/>
        <v>2.1666666666666665</v>
      </c>
      <c r="J236" s="6">
        <f t="shared" si="22"/>
        <v>2.7692307692307696</v>
      </c>
      <c r="K236" s="5"/>
      <c r="L236" s="5"/>
      <c r="M236" s="5"/>
    </row>
    <row r="237" spans="1:13" hidden="1" x14ac:dyDescent="0.3">
      <c r="A237" s="5" t="s">
        <v>441</v>
      </c>
      <c r="B237" s="5" t="s">
        <v>415</v>
      </c>
      <c r="C237" s="5">
        <v>18</v>
      </c>
      <c r="D237" s="6">
        <v>4238.9557214699998</v>
      </c>
      <c r="E237" s="7">
        <f t="shared" si="21"/>
        <v>76301.202986460004</v>
      </c>
      <c r="F237" s="5" t="s">
        <v>442</v>
      </c>
      <c r="G237" s="5" t="s">
        <v>9</v>
      </c>
      <c r="H237" s="6">
        <v>30</v>
      </c>
      <c r="I237" s="8">
        <f t="shared" si="24"/>
        <v>5</v>
      </c>
      <c r="J237" s="6">
        <f t="shared" si="22"/>
        <v>3.6</v>
      </c>
      <c r="K237" s="5"/>
      <c r="L237" s="5"/>
      <c r="M237" s="5"/>
    </row>
    <row r="238" spans="1:13" hidden="1" x14ac:dyDescent="0.3">
      <c r="A238" s="5" t="s">
        <v>443</v>
      </c>
      <c r="B238" s="5" t="s">
        <v>415</v>
      </c>
      <c r="C238" s="5">
        <v>5</v>
      </c>
      <c r="D238" s="6">
        <v>4652.4986615999997</v>
      </c>
      <c r="E238" s="7">
        <f t="shared" si="21"/>
        <v>23262.493307999997</v>
      </c>
      <c r="F238" s="5" t="s">
        <v>444</v>
      </c>
      <c r="G238" s="5" t="s">
        <v>9</v>
      </c>
      <c r="H238" s="6">
        <v>18</v>
      </c>
      <c r="I238" s="8">
        <f t="shared" si="24"/>
        <v>3</v>
      </c>
      <c r="J238" s="6">
        <f t="shared" si="22"/>
        <v>1.6666666666666667</v>
      </c>
      <c r="K238" s="5"/>
      <c r="L238" s="5"/>
      <c r="M238" s="5"/>
    </row>
    <row r="239" spans="1:13" hidden="1" x14ac:dyDescent="0.3">
      <c r="A239" s="5" t="s">
        <v>445</v>
      </c>
      <c r="B239" s="5" t="s">
        <v>415</v>
      </c>
      <c r="C239" s="5">
        <v>4</v>
      </c>
      <c r="D239" s="6">
        <v>5480.6867389199997</v>
      </c>
      <c r="E239" s="7">
        <f t="shared" si="21"/>
        <v>21922.746955679999</v>
      </c>
      <c r="F239" s="5" t="s">
        <v>446</v>
      </c>
      <c r="G239" s="5" t="s">
        <v>9</v>
      </c>
      <c r="H239" s="6">
        <v>4</v>
      </c>
      <c r="I239" s="8">
        <f t="shared" si="24"/>
        <v>0.66666666666666663</v>
      </c>
      <c r="J239" s="6">
        <f t="shared" si="22"/>
        <v>6</v>
      </c>
      <c r="K239" s="5"/>
      <c r="L239" s="18">
        <v>46042</v>
      </c>
      <c r="M239" s="5" t="s">
        <v>677</v>
      </c>
    </row>
    <row r="240" spans="1:13" hidden="1" x14ac:dyDescent="0.3">
      <c r="A240" s="9" t="s">
        <v>445</v>
      </c>
      <c r="B240" s="9" t="s">
        <v>415</v>
      </c>
      <c r="C240" s="9">
        <f>7-4</f>
        <v>3</v>
      </c>
      <c r="D240" s="10">
        <v>5480.6867389199997</v>
      </c>
      <c r="E240" s="11">
        <f t="shared" si="21"/>
        <v>16442.060216760001</v>
      </c>
      <c r="F240" s="9" t="s">
        <v>446</v>
      </c>
      <c r="G240" s="9" t="s">
        <v>9</v>
      </c>
      <c r="H240" s="10">
        <v>4</v>
      </c>
      <c r="I240" s="12">
        <f>+H240/6</f>
        <v>0.66666666666666663</v>
      </c>
      <c r="J240" s="10">
        <f t="shared" si="22"/>
        <v>4.5</v>
      </c>
      <c r="K240" s="9"/>
      <c r="L240" s="17">
        <v>46042</v>
      </c>
      <c r="M240" s="9" t="s">
        <v>677</v>
      </c>
    </row>
    <row r="241" spans="1:20" hidden="1" x14ac:dyDescent="0.3">
      <c r="A241" s="5" t="s">
        <v>447</v>
      </c>
      <c r="B241" s="5" t="s">
        <v>415</v>
      </c>
      <c r="C241" s="5">
        <v>33</v>
      </c>
      <c r="D241" s="6">
        <v>5253.4136329499997</v>
      </c>
      <c r="E241" s="7">
        <f t="shared" si="21"/>
        <v>173362.64988734998</v>
      </c>
      <c r="F241" s="5" t="s">
        <v>448</v>
      </c>
      <c r="G241" s="5" t="s">
        <v>9</v>
      </c>
      <c r="H241" s="6">
        <v>73</v>
      </c>
      <c r="I241" s="8">
        <f>+H241/6</f>
        <v>12.166666666666666</v>
      </c>
      <c r="J241" s="6">
        <f t="shared" si="22"/>
        <v>2.7123287671232879</v>
      </c>
      <c r="K241" s="5"/>
      <c r="L241" s="5"/>
      <c r="M241" s="5"/>
    </row>
    <row r="242" spans="1:20" hidden="1" x14ac:dyDescent="0.3">
      <c r="A242" s="5" t="s">
        <v>449</v>
      </c>
      <c r="B242" s="5" t="s">
        <v>415</v>
      </c>
      <c r="C242" s="5">
        <v>7</v>
      </c>
      <c r="D242" s="6">
        <v>5810.8645962500004</v>
      </c>
      <c r="E242" s="7">
        <f t="shared" si="21"/>
        <v>40676.052173750002</v>
      </c>
      <c r="F242" s="5" t="s">
        <v>450</v>
      </c>
      <c r="G242" s="5" t="s">
        <v>9</v>
      </c>
      <c r="H242" s="6">
        <v>16</v>
      </c>
      <c r="I242" s="8">
        <f t="shared" ref="I242:I247" si="25">+H242/6</f>
        <v>2.6666666666666665</v>
      </c>
      <c r="J242" s="6">
        <f t="shared" si="22"/>
        <v>2.625</v>
      </c>
      <c r="K242" s="5"/>
      <c r="L242" s="5"/>
      <c r="M242" s="5"/>
    </row>
    <row r="243" spans="1:20" hidden="1" x14ac:dyDescent="0.3">
      <c r="A243" s="5" t="s">
        <v>451</v>
      </c>
      <c r="B243" s="5" t="s">
        <v>415</v>
      </c>
      <c r="C243" s="5">
        <v>103</v>
      </c>
      <c r="D243" s="6">
        <v>6245.9764071199997</v>
      </c>
      <c r="E243" s="7">
        <f t="shared" si="21"/>
        <v>643335.56993335998</v>
      </c>
      <c r="F243" s="5" t="s">
        <v>452</v>
      </c>
      <c r="G243" s="5" t="s">
        <v>9</v>
      </c>
      <c r="H243" s="6">
        <v>163</v>
      </c>
      <c r="I243" s="8">
        <f t="shared" si="25"/>
        <v>27.166666666666668</v>
      </c>
      <c r="J243" s="6">
        <f t="shared" si="22"/>
        <v>3.7914110429447851</v>
      </c>
      <c r="K243" s="5"/>
      <c r="L243" s="5"/>
      <c r="M243" s="5"/>
    </row>
    <row r="244" spans="1:20" hidden="1" x14ac:dyDescent="0.3">
      <c r="A244" s="5" t="s">
        <v>453</v>
      </c>
      <c r="B244" s="5" t="s">
        <v>415</v>
      </c>
      <c r="C244" s="5">
        <v>6</v>
      </c>
      <c r="D244" s="6">
        <v>13824.02250832</v>
      </c>
      <c r="E244" s="7">
        <f t="shared" si="21"/>
        <v>82944.135049920005</v>
      </c>
      <c r="F244" s="5" t="s">
        <v>454</v>
      </c>
      <c r="G244" s="5" t="s">
        <v>9</v>
      </c>
      <c r="H244" s="6">
        <v>20</v>
      </c>
      <c r="I244" s="8">
        <f t="shared" si="25"/>
        <v>3.3333333333333335</v>
      </c>
      <c r="J244" s="6">
        <f t="shared" si="22"/>
        <v>1.7999999999999998</v>
      </c>
      <c r="K244" s="5"/>
      <c r="L244" s="5"/>
      <c r="M244" s="5"/>
    </row>
    <row r="245" spans="1:20" hidden="1" x14ac:dyDescent="0.3">
      <c r="A245" s="5" t="s">
        <v>455</v>
      </c>
      <c r="B245" s="5" t="s">
        <v>415</v>
      </c>
      <c r="C245" s="5">
        <v>6</v>
      </c>
      <c r="D245" s="6">
        <v>12868.06297273</v>
      </c>
      <c r="E245" s="7">
        <f t="shared" si="21"/>
        <v>77208.377836380008</v>
      </c>
      <c r="F245" s="5" t="s">
        <v>456</v>
      </c>
      <c r="G245" s="5" t="s">
        <v>9</v>
      </c>
      <c r="H245" s="6">
        <v>13</v>
      </c>
      <c r="I245" s="8">
        <f t="shared" si="25"/>
        <v>2.1666666666666665</v>
      </c>
      <c r="J245" s="6">
        <f t="shared" si="22"/>
        <v>2.7692307692307696</v>
      </c>
      <c r="K245" s="5"/>
      <c r="L245" s="5"/>
      <c r="M245" s="5"/>
    </row>
    <row r="246" spans="1:20" hidden="1" x14ac:dyDescent="0.3">
      <c r="A246" s="5" t="s">
        <v>457</v>
      </c>
      <c r="B246" s="5" t="s">
        <v>415</v>
      </c>
      <c r="C246" s="5">
        <v>3</v>
      </c>
      <c r="D246" s="6">
        <v>24907.061799999999</v>
      </c>
      <c r="E246" s="7">
        <f t="shared" si="21"/>
        <v>74721.185400000002</v>
      </c>
      <c r="F246" s="5" t="s">
        <v>458</v>
      </c>
      <c r="G246" s="5" t="s">
        <v>9</v>
      </c>
      <c r="H246" s="6">
        <v>4</v>
      </c>
      <c r="I246" s="8">
        <f t="shared" si="25"/>
        <v>0.66666666666666663</v>
      </c>
      <c r="J246" s="6">
        <f t="shared" si="22"/>
        <v>4.5</v>
      </c>
      <c r="K246" s="5"/>
      <c r="L246" s="5"/>
      <c r="M246" s="5"/>
    </row>
    <row r="247" spans="1:20" hidden="1" x14ac:dyDescent="0.3">
      <c r="A247" s="5" t="s">
        <v>459</v>
      </c>
      <c r="B247" s="5" t="s">
        <v>415</v>
      </c>
      <c r="C247" s="5">
        <v>14</v>
      </c>
      <c r="D247" s="6">
        <v>21829.686399999999</v>
      </c>
      <c r="E247" s="7">
        <f t="shared" si="21"/>
        <v>305615.60959999997</v>
      </c>
      <c r="F247" s="5" t="s">
        <v>460</v>
      </c>
      <c r="G247" s="5" t="s">
        <v>9</v>
      </c>
      <c r="H247" s="6">
        <v>43</v>
      </c>
      <c r="I247" s="8">
        <f t="shared" si="25"/>
        <v>7.166666666666667</v>
      </c>
      <c r="J247" s="6">
        <f t="shared" si="22"/>
        <v>1.9534883720930232</v>
      </c>
      <c r="K247" s="5"/>
      <c r="L247" s="5"/>
      <c r="M247" s="5"/>
    </row>
    <row r="248" spans="1:20" hidden="1" x14ac:dyDescent="0.3">
      <c r="A248" s="9" t="s">
        <v>461</v>
      </c>
      <c r="B248" s="9" t="s">
        <v>415</v>
      </c>
      <c r="C248" s="9">
        <v>9</v>
      </c>
      <c r="D248" s="10">
        <v>379.12515714</v>
      </c>
      <c r="E248" s="11">
        <f t="shared" si="21"/>
        <v>3412.1264142599998</v>
      </c>
      <c r="F248" s="9" t="s">
        <v>462</v>
      </c>
      <c r="G248" s="9" t="s">
        <v>9</v>
      </c>
      <c r="H248" s="10">
        <v>1</v>
      </c>
      <c r="I248" s="12">
        <f t="shared" ref="I248:I263" si="26">+H248/6</f>
        <v>0.16666666666666666</v>
      </c>
      <c r="J248" s="10">
        <f t="shared" si="22"/>
        <v>54</v>
      </c>
      <c r="K248" s="9"/>
      <c r="L248" s="9"/>
      <c r="M248" s="9"/>
    </row>
    <row r="249" spans="1:20" hidden="1" x14ac:dyDescent="0.3">
      <c r="A249" s="13" t="s">
        <v>463</v>
      </c>
      <c r="B249" s="13" t="s">
        <v>415</v>
      </c>
      <c r="C249" s="13">
        <v>4</v>
      </c>
      <c r="D249" s="14">
        <v>591.01350000000002</v>
      </c>
      <c r="E249" s="15">
        <f t="shared" si="21"/>
        <v>2364.0540000000001</v>
      </c>
      <c r="F249" s="13" t="s">
        <v>464</v>
      </c>
      <c r="G249" s="13" t="s">
        <v>9</v>
      </c>
      <c r="H249" s="14">
        <v>0</v>
      </c>
      <c r="I249" s="16">
        <f t="shared" si="26"/>
        <v>0</v>
      </c>
      <c r="J249" s="14" t="e">
        <f t="shared" si="22"/>
        <v>#DIV/0!</v>
      </c>
      <c r="K249" s="13"/>
      <c r="L249" s="13"/>
      <c r="M249" s="13"/>
    </row>
    <row r="250" spans="1:20" hidden="1" x14ac:dyDescent="0.3">
      <c r="A250" s="5" t="s">
        <v>465</v>
      </c>
      <c r="B250" s="5" t="s">
        <v>415</v>
      </c>
      <c r="C250" s="5">
        <v>7</v>
      </c>
      <c r="D250" s="6">
        <v>985.60731121000003</v>
      </c>
      <c r="E250" s="7">
        <f t="shared" si="21"/>
        <v>6899.25117847</v>
      </c>
      <c r="F250" s="5" t="s">
        <v>466</v>
      </c>
      <c r="G250" s="5" t="s">
        <v>9</v>
      </c>
      <c r="H250" s="6">
        <v>13</v>
      </c>
      <c r="I250" s="8">
        <f t="shared" si="26"/>
        <v>2.1666666666666665</v>
      </c>
      <c r="J250" s="6">
        <f t="shared" si="22"/>
        <v>3.2307692307692308</v>
      </c>
      <c r="K250" s="5"/>
      <c r="L250" s="5"/>
      <c r="M250" s="5"/>
      <c r="O250">
        <f>105.89*17.7</f>
        <v>1874.2529999999999</v>
      </c>
      <c r="P250" s="4">
        <f>+O250-D250</f>
        <v>888.64568878999989</v>
      </c>
      <c r="Q250">
        <f>+P250/O250</f>
        <v>0.47413326204626588</v>
      </c>
      <c r="S250">
        <f>52.25*1.075</f>
        <v>56.168749999999996</v>
      </c>
      <c r="T250">
        <f>+S250*17.7</f>
        <v>994.18687499999987</v>
      </c>
    </row>
    <row r="251" spans="1:20" hidden="1" x14ac:dyDescent="0.3">
      <c r="A251" s="13" t="s">
        <v>467</v>
      </c>
      <c r="B251" s="13" t="s">
        <v>468</v>
      </c>
      <c r="C251" s="13">
        <v>7</v>
      </c>
      <c r="D251" s="14">
        <v>43.103999999999999</v>
      </c>
      <c r="E251" s="15">
        <f t="shared" si="21"/>
        <v>301.72800000000001</v>
      </c>
      <c r="F251" s="13" t="s">
        <v>469</v>
      </c>
      <c r="G251" s="13" t="s">
        <v>9</v>
      </c>
      <c r="H251" s="14">
        <v>0</v>
      </c>
      <c r="I251" s="16">
        <f t="shared" si="26"/>
        <v>0</v>
      </c>
      <c r="J251" s="14" t="e">
        <f t="shared" si="22"/>
        <v>#DIV/0!</v>
      </c>
      <c r="K251" s="13"/>
      <c r="L251" s="13"/>
      <c r="M251" s="13"/>
    </row>
    <row r="252" spans="1:20" hidden="1" x14ac:dyDescent="0.3">
      <c r="A252" s="13" t="s">
        <v>470</v>
      </c>
      <c r="B252" s="13" t="s">
        <v>468</v>
      </c>
      <c r="C252" s="13">
        <v>2</v>
      </c>
      <c r="D252" s="14">
        <v>2997.0463</v>
      </c>
      <c r="E252" s="15">
        <f t="shared" si="21"/>
        <v>5994.0925999999999</v>
      </c>
      <c r="F252" s="13" t="s">
        <v>471</v>
      </c>
      <c r="G252" s="13" t="s">
        <v>9</v>
      </c>
      <c r="H252" s="14">
        <v>0</v>
      </c>
      <c r="I252" s="16">
        <f t="shared" si="26"/>
        <v>0</v>
      </c>
      <c r="J252" s="14" t="e">
        <f t="shared" si="22"/>
        <v>#DIV/0!</v>
      </c>
      <c r="K252" s="13"/>
      <c r="L252" s="13"/>
      <c r="M252" s="13"/>
    </row>
    <row r="253" spans="1:20" hidden="1" x14ac:dyDescent="0.3">
      <c r="A253" s="5" t="s">
        <v>472</v>
      </c>
      <c r="B253" s="5" t="s">
        <v>468</v>
      </c>
      <c r="C253" s="5">
        <v>1</v>
      </c>
      <c r="D253" s="6">
        <v>4073.506425</v>
      </c>
      <c r="E253" s="7">
        <f t="shared" si="21"/>
        <v>4073.506425</v>
      </c>
      <c r="F253" s="5" t="s">
        <v>473</v>
      </c>
      <c r="G253" s="5" t="s">
        <v>9</v>
      </c>
      <c r="H253" s="6">
        <v>4</v>
      </c>
      <c r="I253" s="8">
        <f t="shared" si="26"/>
        <v>0.66666666666666663</v>
      </c>
      <c r="J253" s="6">
        <f t="shared" si="22"/>
        <v>1.5</v>
      </c>
      <c r="K253" s="5"/>
      <c r="L253" s="5"/>
      <c r="M253" s="5"/>
    </row>
    <row r="254" spans="1:20" hidden="1" x14ac:dyDescent="0.3">
      <c r="A254" s="9" t="s">
        <v>474</v>
      </c>
      <c r="B254" s="9" t="s">
        <v>468</v>
      </c>
      <c r="C254" s="9">
        <v>113</v>
      </c>
      <c r="D254" s="10">
        <v>98.523932470000005</v>
      </c>
      <c r="E254" s="11">
        <f t="shared" si="21"/>
        <v>11133.204369110001</v>
      </c>
      <c r="F254" s="9" t="s">
        <v>475</v>
      </c>
      <c r="G254" s="9" t="s">
        <v>9</v>
      </c>
      <c r="H254" s="10">
        <v>2</v>
      </c>
      <c r="I254" s="12">
        <f t="shared" si="26"/>
        <v>0.33333333333333331</v>
      </c>
      <c r="J254" s="10">
        <f t="shared" si="22"/>
        <v>339</v>
      </c>
      <c r="K254" s="9"/>
      <c r="L254" s="9"/>
      <c r="M254" s="9"/>
    </row>
    <row r="255" spans="1:20" hidden="1" x14ac:dyDescent="0.3">
      <c r="A255" s="9" t="s">
        <v>476</v>
      </c>
      <c r="B255" s="9" t="s">
        <v>468</v>
      </c>
      <c r="C255" s="9">
        <v>125</v>
      </c>
      <c r="D255" s="10">
        <v>100.621089</v>
      </c>
      <c r="E255" s="11">
        <f t="shared" si="21"/>
        <v>12577.636124999999</v>
      </c>
      <c r="F255" s="9" t="s">
        <v>477</v>
      </c>
      <c r="G255" s="9" t="s">
        <v>9</v>
      </c>
      <c r="H255" s="10">
        <v>3</v>
      </c>
      <c r="I255" s="12">
        <f t="shared" si="26"/>
        <v>0.5</v>
      </c>
      <c r="J255" s="10">
        <f t="shared" si="22"/>
        <v>250</v>
      </c>
      <c r="K255" s="9"/>
      <c r="L255" s="9"/>
      <c r="M255" s="9"/>
    </row>
    <row r="256" spans="1:20" hidden="1" x14ac:dyDescent="0.3">
      <c r="A256" s="9" t="s">
        <v>478</v>
      </c>
      <c r="B256" s="9" t="s">
        <v>468</v>
      </c>
      <c r="C256" s="9">
        <v>28</v>
      </c>
      <c r="D256" s="10">
        <v>166.57618124999999</v>
      </c>
      <c r="E256" s="11">
        <f t="shared" si="21"/>
        <v>4664.1330749999997</v>
      </c>
      <c r="F256" s="9" t="s">
        <v>478</v>
      </c>
      <c r="G256" s="9" t="s">
        <v>9</v>
      </c>
      <c r="H256" s="10">
        <v>2</v>
      </c>
      <c r="I256" s="12">
        <f t="shared" si="26"/>
        <v>0.33333333333333331</v>
      </c>
      <c r="J256" s="10">
        <f t="shared" si="22"/>
        <v>84</v>
      </c>
      <c r="K256" s="9"/>
      <c r="L256" s="9"/>
      <c r="M256" s="9"/>
    </row>
    <row r="257" spans="1:13" hidden="1" x14ac:dyDescent="0.3">
      <c r="A257" s="13" t="s">
        <v>479</v>
      </c>
      <c r="B257" s="13" t="s">
        <v>468</v>
      </c>
      <c r="C257" s="13">
        <v>2</v>
      </c>
      <c r="D257" s="14">
        <v>2.29061176</v>
      </c>
      <c r="E257" s="15">
        <f t="shared" si="21"/>
        <v>4.58122352</v>
      </c>
      <c r="F257" s="13" t="s">
        <v>480</v>
      </c>
      <c r="G257" s="13" t="s">
        <v>9</v>
      </c>
      <c r="H257" s="14">
        <v>0</v>
      </c>
      <c r="I257" s="16">
        <f t="shared" si="26"/>
        <v>0</v>
      </c>
      <c r="J257" s="14" t="e">
        <f t="shared" si="22"/>
        <v>#DIV/0!</v>
      </c>
      <c r="K257" s="13"/>
      <c r="L257" s="13"/>
      <c r="M257" s="13"/>
    </row>
    <row r="258" spans="1:13" hidden="1" x14ac:dyDescent="0.3">
      <c r="A258" s="5" t="s">
        <v>481</v>
      </c>
      <c r="B258" s="5" t="s">
        <v>468</v>
      </c>
      <c r="C258" s="5">
        <f>26*5</f>
        <v>130</v>
      </c>
      <c r="D258" s="6">
        <v>625.28411282000002</v>
      </c>
      <c r="E258" s="7">
        <f t="shared" si="21"/>
        <v>81286.934666600006</v>
      </c>
      <c r="F258" s="5" t="s">
        <v>482</v>
      </c>
      <c r="G258" s="5" t="s">
        <v>9</v>
      </c>
      <c r="H258" s="6">
        <v>151</v>
      </c>
      <c r="I258" s="8">
        <f t="shared" si="26"/>
        <v>25.166666666666668</v>
      </c>
      <c r="J258" s="6">
        <f t="shared" si="22"/>
        <v>5.1655629139072845</v>
      </c>
      <c r="K258" s="5"/>
      <c r="L258" s="18">
        <v>46073</v>
      </c>
      <c r="M258" s="5" t="s">
        <v>683</v>
      </c>
    </row>
    <row r="259" spans="1:13" hidden="1" x14ac:dyDescent="0.3">
      <c r="A259" s="9" t="s">
        <v>481</v>
      </c>
      <c r="B259" s="9" t="s">
        <v>468</v>
      </c>
      <c r="C259" s="9">
        <f>357-130</f>
        <v>227</v>
      </c>
      <c r="D259" s="10">
        <v>625.28411282000002</v>
      </c>
      <c r="E259" s="11">
        <f t="shared" si="21"/>
        <v>141939.49361013999</v>
      </c>
      <c r="F259" s="9" t="s">
        <v>482</v>
      </c>
      <c r="G259" s="9" t="s">
        <v>9</v>
      </c>
      <c r="H259" s="10">
        <v>151</v>
      </c>
      <c r="I259" s="12">
        <f t="shared" si="26"/>
        <v>25.166666666666668</v>
      </c>
      <c r="J259" s="10">
        <f t="shared" si="22"/>
        <v>9.0198675496688736</v>
      </c>
      <c r="K259" s="9"/>
      <c r="L259" s="17">
        <v>46073</v>
      </c>
      <c r="M259" s="9" t="s">
        <v>683</v>
      </c>
    </row>
    <row r="260" spans="1:13" hidden="1" x14ac:dyDescent="0.3">
      <c r="A260" s="13" t="s">
        <v>483</v>
      </c>
      <c r="B260" s="13" t="s">
        <v>468</v>
      </c>
      <c r="C260" s="13">
        <v>2</v>
      </c>
      <c r="D260" s="14">
        <v>14043.186100000001</v>
      </c>
      <c r="E260" s="15">
        <f t="shared" si="21"/>
        <v>28086.372200000002</v>
      </c>
      <c r="F260" s="13" t="s">
        <v>484</v>
      </c>
      <c r="G260" s="13" t="s">
        <v>9</v>
      </c>
      <c r="H260" s="14">
        <v>0</v>
      </c>
      <c r="I260" s="16">
        <f t="shared" si="26"/>
        <v>0</v>
      </c>
      <c r="J260" s="14" t="e">
        <f t="shared" si="22"/>
        <v>#DIV/0!</v>
      </c>
      <c r="K260" s="13"/>
      <c r="L260" s="13"/>
      <c r="M260" s="13"/>
    </row>
    <row r="261" spans="1:13" hidden="1" x14ac:dyDescent="0.3">
      <c r="A261" s="13" t="s">
        <v>485</v>
      </c>
      <c r="B261" s="13" t="s">
        <v>468</v>
      </c>
      <c r="C261" s="13">
        <v>3</v>
      </c>
      <c r="D261" s="14">
        <v>383.19</v>
      </c>
      <c r="E261" s="15">
        <f t="shared" si="21"/>
        <v>1149.57</v>
      </c>
      <c r="F261" s="13" t="s">
        <v>486</v>
      </c>
      <c r="G261" s="13" t="s">
        <v>9</v>
      </c>
      <c r="H261" s="14">
        <v>0</v>
      </c>
      <c r="I261" s="16">
        <f t="shared" si="26"/>
        <v>0</v>
      </c>
      <c r="J261" s="14" t="e">
        <f t="shared" si="22"/>
        <v>#DIV/0!</v>
      </c>
      <c r="K261" s="13"/>
      <c r="L261" s="13"/>
      <c r="M261" s="13"/>
    </row>
    <row r="262" spans="1:13" hidden="1" x14ac:dyDescent="0.3">
      <c r="A262" s="5" t="s">
        <v>487</v>
      </c>
      <c r="B262" s="5" t="s">
        <v>468</v>
      </c>
      <c r="C262" s="5">
        <v>39</v>
      </c>
      <c r="D262" s="6">
        <v>33041.128996719999</v>
      </c>
      <c r="E262" s="7">
        <f t="shared" si="21"/>
        <v>1288604.03087208</v>
      </c>
      <c r="F262" s="5" t="s">
        <v>488</v>
      </c>
      <c r="G262" s="5" t="s">
        <v>9</v>
      </c>
      <c r="H262" s="6">
        <v>91</v>
      </c>
      <c r="I262" s="8">
        <f t="shared" si="26"/>
        <v>15.166666666666666</v>
      </c>
      <c r="J262" s="6">
        <f t="shared" si="22"/>
        <v>2.5714285714285716</v>
      </c>
      <c r="K262" s="5"/>
      <c r="L262" s="5"/>
      <c r="M262" s="5"/>
    </row>
    <row r="263" spans="1:13" hidden="1" x14ac:dyDescent="0.3">
      <c r="A263" s="5" t="s">
        <v>489</v>
      </c>
      <c r="B263" s="5" t="s">
        <v>468</v>
      </c>
      <c r="C263" s="5">
        <v>33</v>
      </c>
      <c r="D263" s="6">
        <v>27995.91675764</v>
      </c>
      <c r="E263" s="7">
        <f t="shared" si="21"/>
        <v>923865.25300211995</v>
      </c>
      <c r="F263" s="5" t="s">
        <v>490</v>
      </c>
      <c r="G263" s="5" t="s">
        <v>9</v>
      </c>
      <c r="H263" s="6">
        <v>68</v>
      </c>
      <c r="I263" s="8">
        <f t="shared" si="26"/>
        <v>11.333333333333334</v>
      </c>
      <c r="J263" s="6">
        <f t="shared" si="22"/>
        <v>2.9117647058823528</v>
      </c>
      <c r="K263" s="5"/>
      <c r="L263" s="5"/>
      <c r="M263" s="5"/>
    </row>
    <row r="264" spans="1:13" hidden="1" x14ac:dyDescent="0.3">
      <c r="A264" s="5" t="s">
        <v>491</v>
      </c>
      <c r="B264" s="5" t="s">
        <v>468</v>
      </c>
      <c r="C264" s="5">
        <v>76</v>
      </c>
      <c r="D264" s="6">
        <v>6791.4435608200001</v>
      </c>
      <c r="E264" s="7">
        <f t="shared" si="21"/>
        <v>516149.71062232001</v>
      </c>
      <c r="F264" s="5" t="s">
        <v>492</v>
      </c>
      <c r="G264" s="5" t="s">
        <v>9</v>
      </c>
      <c r="H264" s="6">
        <v>142</v>
      </c>
      <c r="I264" s="8">
        <f>+H264/5</f>
        <v>28.4</v>
      </c>
      <c r="J264" s="6">
        <f t="shared" si="22"/>
        <v>2.676056338028169</v>
      </c>
      <c r="K264" s="5"/>
      <c r="L264" s="5"/>
      <c r="M264" s="5"/>
    </row>
    <row r="265" spans="1:13" hidden="1" x14ac:dyDescent="0.3">
      <c r="A265" s="5" t="s">
        <v>493</v>
      </c>
      <c r="B265" s="5" t="s">
        <v>468</v>
      </c>
      <c r="C265" s="5">
        <v>100</v>
      </c>
      <c r="D265" s="6">
        <v>13085.769854939999</v>
      </c>
      <c r="E265" s="7">
        <f t="shared" si="21"/>
        <v>1308576.9854939999</v>
      </c>
      <c r="F265" s="5" t="s">
        <v>494</v>
      </c>
      <c r="G265" s="5" t="s">
        <v>9</v>
      </c>
      <c r="H265" s="6">
        <v>132</v>
      </c>
      <c r="I265" s="8">
        <f t="shared" ref="I265:I275" si="27">+H265/6</f>
        <v>22</v>
      </c>
      <c r="J265" s="6">
        <f t="shared" si="22"/>
        <v>4.5454545454545459</v>
      </c>
      <c r="K265" s="5"/>
      <c r="L265" s="5"/>
      <c r="M265" s="5"/>
    </row>
    <row r="266" spans="1:13" hidden="1" x14ac:dyDescent="0.3">
      <c r="A266" s="5" t="s">
        <v>495</v>
      </c>
      <c r="B266" s="5" t="s">
        <v>468</v>
      </c>
      <c r="C266" s="5">
        <f>203+84</f>
        <v>287</v>
      </c>
      <c r="D266" s="6">
        <v>207.35413635</v>
      </c>
      <c r="E266" s="7">
        <f t="shared" si="21"/>
        <v>59510.63713245</v>
      </c>
      <c r="F266" s="5" t="s">
        <v>496</v>
      </c>
      <c r="G266" s="5" t="s">
        <v>9</v>
      </c>
      <c r="H266" s="6">
        <v>804</v>
      </c>
      <c r="I266" s="8">
        <f t="shared" si="27"/>
        <v>134</v>
      </c>
      <c r="J266" s="6">
        <f t="shared" si="22"/>
        <v>2.1417910447761193</v>
      </c>
      <c r="K266" s="5"/>
      <c r="L266" s="5"/>
      <c r="M266" s="5"/>
    </row>
    <row r="267" spans="1:13" hidden="1" x14ac:dyDescent="0.3">
      <c r="A267" s="5" t="s">
        <v>497</v>
      </c>
      <c r="B267" s="5" t="s">
        <v>468</v>
      </c>
      <c r="C267" s="5">
        <v>18</v>
      </c>
      <c r="D267" s="6">
        <v>151.46936782</v>
      </c>
      <c r="E267" s="7">
        <f t="shared" si="21"/>
        <v>2726.4486207600003</v>
      </c>
      <c r="F267" s="5" t="s">
        <v>498</v>
      </c>
      <c r="G267" s="5" t="s">
        <v>9</v>
      </c>
      <c r="H267" s="6">
        <v>63</v>
      </c>
      <c r="I267" s="8">
        <f t="shared" si="27"/>
        <v>10.5</v>
      </c>
      <c r="J267" s="6">
        <f t="shared" si="22"/>
        <v>1.7142857142857142</v>
      </c>
      <c r="K267" s="5"/>
      <c r="L267" s="5"/>
      <c r="M267" s="5"/>
    </row>
    <row r="268" spans="1:13" hidden="1" x14ac:dyDescent="0.3">
      <c r="A268" s="5" t="s">
        <v>499</v>
      </c>
      <c r="B268" s="5" t="s">
        <v>468</v>
      </c>
      <c r="C268" s="5">
        <v>26</v>
      </c>
      <c r="D268" s="6">
        <v>599.36630000000002</v>
      </c>
      <c r="E268" s="7">
        <f t="shared" si="21"/>
        <v>15583.523800000001</v>
      </c>
      <c r="F268" s="5" t="s">
        <v>500</v>
      </c>
      <c r="G268" s="5" t="s">
        <v>9</v>
      </c>
      <c r="H268" s="6">
        <v>94</v>
      </c>
      <c r="I268" s="8">
        <f t="shared" si="27"/>
        <v>15.666666666666666</v>
      </c>
      <c r="J268" s="6">
        <f t="shared" si="22"/>
        <v>1.6595744680851063</v>
      </c>
      <c r="K268" s="5"/>
      <c r="L268" s="5"/>
      <c r="M268" s="5"/>
    </row>
    <row r="269" spans="1:13" hidden="1" x14ac:dyDescent="0.3">
      <c r="A269" s="5" t="s">
        <v>465</v>
      </c>
      <c r="B269" s="5" t="s">
        <v>415</v>
      </c>
      <c r="C269" s="5">
        <f>10-7</f>
        <v>3</v>
      </c>
      <c r="D269" s="6">
        <v>985.60731121000003</v>
      </c>
      <c r="E269" s="7">
        <f t="shared" si="21"/>
        <v>2956.8219336299999</v>
      </c>
      <c r="F269" s="5" t="s">
        <v>466</v>
      </c>
      <c r="G269" s="5" t="s">
        <v>9</v>
      </c>
      <c r="H269" s="6">
        <v>13</v>
      </c>
      <c r="I269" s="8">
        <f t="shared" si="27"/>
        <v>2.1666666666666665</v>
      </c>
      <c r="J269" s="6">
        <f t="shared" si="22"/>
        <v>1.3846153846153848</v>
      </c>
      <c r="K269" s="5"/>
      <c r="L269" s="5"/>
      <c r="M269" s="5"/>
    </row>
    <row r="270" spans="1:13" hidden="1" x14ac:dyDescent="0.3">
      <c r="A270" s="5" t="s">
        <v>501</v>
      </c>
      <c r="B270" s="5" t="s">
        <v>468</v>
      </c>
      <c r="C270" s="5">
        <v>27</v>
      </c>
      <c r="D270" s="6">
        <v>863.43755247000001</v>
      </c>
      <c r="E270" s="7">
        <f t="shared" si="21"/>
        <v>23312.81391669</v>
      </c>
      <c r="F270" s="5" t="s">
        <v>502</v>
      </c>
      <c r="G270" s="5" t="s">
        <v>9</v>
      </c>
      <c r="H270" s="6">
        <v>71</v>
      </c>
      <c r="I270" s="8">
        <f t="shared" si="27"/>
        <v>11.833333333333334</v>
      </c>
      <c r="J270" s="6">
        <f t="shared" si="22"/>
        <v>2.2816901408450705</v>
      </c>
      <c r="K270" s="5"/>
      <c r="L270" s="5"/>
      <c r="M270" s="5"/>
    </row>
    <row r="271" spans="1:13" hidden="1" x14ac:dyDescent="0.3">
      <c r="A271" s="9" t="s">
        <v>503</v>
      </c>
      <c r="B271" s="9" t="s">
        <v>468</v>
      </c>
      <c r="C271" s="9">
        <v>13</v>
      </c>
      <c r="D271" s="10">
        <v>750.40146666999999</v>
      </c>
      <c r="E271" s="11">
        <f t="shared" si="21"/>
        <v>9755.2190667100003</v>
      </c>
      <c r="F271" s="9" t="s">
        <v>504</v>
      </c>
      <c r="G271" s="9" t="s">
        <v>9</v>
      </c>
      <c r="H271" s="10">
        <v>1</v>
      </c>
      <c r="I271" s="12">
        <f t="shared" si="27"/>
        <v>0.16666666666666666</v>
      </c>
      <c r="J271" s="10">
        <f t="shared" si="22"/>
        <v>78</v>
      </c>
      <c r="K271" s="9"/>
      <c r="L271" s="9"/>
      <c r="M271" s="9"/>
    </row>
    <row r="272" spans="1:13" hidden="1" x14ac:dyDescent="0.3">
      <c r="A272" s="5" t="s">
        <v>505</v>
      </c>
      <c r="B272" s="5" t="s">
        <v>468</v>
      </c>
      <c r="C272" s="5">
        <v>100</v>
      </c>
      <c r="D272" s="6">
        <v>138.86015613999999</v>
      </c>
      <c r="E272" s="7">
        <f t="shared" si="21"/>
        <v>13886.015613999998</v>
      </c>
      <c r="F272" s="5" t="s">
        <v>506</v>
      </c>
      <c r="G272" s="5" t="s">
        <v>9</v>
      </c>
      <c r="H272" s="6">
        <v>92</v>
      </c>
      <c r="I272" s="8">
        <f t="shared" si="27"/>
        <v>15.333333333333334</v>
      </c>
      <c r="J272" s="6">
        <f t="shared" si="22"/>
        <v>6.5217391304347823</v>
      </c>
      <c r="K272" s="5"/>
      <c r="L272" s="5"/>
      <c r="M272" s="5"/>
    </row>
    <row r="273" spans="1:13" hidden="1" x14ac:dyDescent="0.3">
      <c r="A273" s="5" t="s">
        <v>507</v>
      </c>
      <c r="B273" s="5" t="s">
        <v>468</v>
      </c>
      <c r="C273" s="5">
        <v>7</v>
      </c>
      <c r="D273" s="6">
        <v>166.21701429000001</v>
      </c>
      <c r="E273" s="7">
        <f t="shared" si="21"/>
        <v>1163.5191000300001</v>
      </c>
      <c r="F273" s="5" t="s">
        <v>508</v>
      </c>
      <c r="G273" s="5" t="s">
        <v>9</v>
      </c>
      <c r="H273" s="6">
        <v>15</v>
      </c>
      <c r="I273" s="8">
        <f t="shared" si="27"/>
        <v>2.5</v>
      </c>
      <c r="J273" s="6">
        <f t="shared" si="22"/>
        <v>2.8</v>
      </c>
      <c r="K273" s="5"/>
      <c r="L273" s="5"/>
      <c r="M273" s="5"/>
    </row>
    <row r="274" spans="1:13" hidden="1" x14ac:dyDescent="0.3">
      <c r="A274" s="9" t="s">
        <v>507</v>
      </c>
      <c r="B274" s="9" t="s">
        <v>468</v>
      </c>
      <c r="C274" s="9">
        <f>49-7</f>
        <v>42</v>
      </c>
      <c r="D274" s="10">
        <v>166.21701429000001</v>
      </c>
      <c r="E274" s="11">
        <f t="shared" si="21"/>
        <v>6981.1146001800007</v>
      </c>
      <c r="F274" s="9" t="s">
        <v>508</v>
      </c>
      <c r="G274" s="9" t="s">
        <v>9</v>
      </c>
      <c r="H274" s="10">
        <v>15</v>
      </c>
      <c r="I274" s="12">
        <f t="shared" si="27"/>
        <v>2.5</v>
      </c>
      <c r="J274" s="10">
        <f t="shared" si="22"/>
        <v>16.8</v>
      </c>
      <c r="K274" s="9"/>
      <c r="L274" s="9"/>
      <c r="M274" s="9"/>
    </row>
    <row r="275" spans="1:13" hidden="1" x14ac:dyDescent="0.3">
      <c r="A275" s="5" t="s">
        <v>509</v>
      </c>
      <c r="B275" s="5" t="s">
        <v>468</v>
      </c>
      <c r="C275" s="5">
        <v>1</v>
      </c>
      <c r="D275" s="6">
        <v>490.27100000000002</v>
      </c>
      <c r="E275" s="7">
        <f t="shared" si="21"/>
        <v>490.27100000000002</v>
      </c>
      <c r="F275" s="5" t="s">
        <v>510</v>
      </c>
      <c r="G275" s="5" t="s">
        <v>9</v>
      </c>
      <c r="H275" s="6">
        <v>4</v>
      </c>
      <c r="I275" s="8">
        <f t="shared" si="27"/>
        <v>0.66666666666666663</v>
      </c>
      <c r="J275" s="6">
        <f t="shared" si="22"/>
        <v>1.5</v>
      </c>
      <c r="K275" s="5"/>
      <c r="L275" s="5"/>
      <c r="M275" s="5"/>
    </row>
    <row r="276" spans="1:13" hidden="1" x14ac:dyDescent="0.3">
      <c r="A276" s="5" t="s">
        <v>511</v>
      </c>
      <c r="B276" s="5" t="s">
        <v>468</v>
      </c>
      <c r="C276" s="5">
        <v>2</v>
      </c>
      <c r="D276" s="6">
        <v>354.63626154000002</v>
      </c>
      <c r="E276" s="7">
        <f t="shared" si="21"/>
        <v>709.27252308000004</v>
      </c>
      <c r="F276" s="5" t="s">
        <v>512</v>
      </c>
      <c r="G276" s="5" t="s">
        <v>9</v>
      </c>
      <c r="H276" s="6">
        <v>13</v>
      </c>
      <c r="I276" s="8">
        <f t="shared" ref="I276:I278" si="28">+H276/6</f>
        <v>2.1666666666666665</v>
      </c>
      <c r="J276" s="6">
        <f t="shared" si="22"/>
        <v>0.92307692307692313</v>
      </c>
      <c r="K276" s="5"/>
      <c r="L276" s="5"/>
      <c r="M276" s="5"/>
    </row>
    <row r="277" spans="1:13" hidden="1" x14ac:dyDescent="0.3">
      <c r="A277" s="5" t="s">
        <v>513</v>
      </c>
      <c r="B277" s="5" t="s">
        <v>468</v>
      </c>
      <c r="C277" s="5">
        <v>21</v>
      </c>
      <c r="D277" s="6">
        <v>181.92685986000001</v>
      </c>
      <c r="E277" s="7">
        <f t="shared" si="21"/>
        <v>3820.46405706</v>
      </c>
      <c r="F277" s="5" t="s">
        <v>514</v>
      </c>
      <c r="G277" s="5" t="s">
        <v>9</v>
      </c>
      <c r="H277" s="6">
        <v>158</v>
      </c>
      <c r="I277" s="8">
        <f t="shared" si="28"/>
        <v>26.333333333333332</v>
      </c>
      <c r="J277" s="6">
        <f t="shared" si="22"/>
        <v>0.79746835443037978</v>
      </c>
      <c r="K277" s="5"/>
      <c r="L277" s="5"/>
      <c r="M277" s="5"/>
    </row>
    <row r="278" spans="1:13" hidden="1" x14ac:dyDescent="0.3">
      <c r="A278" s="5" t="s">
        <v>515</v>
      </c>
      <c r="B278" s="5" t="s">
        <v>468</v>
      </c>
      <c r="C278" s="5">
        <v>24</v>
      </c>
      <c r="D278" s="6">
        <v>183.21089565</v>
      </c>
      <c r="E278" s="7">
        <f t="shared" si="21"/>
        <v>4397.0614955999999</v>
      </c>
      <c r="F278" s="5" t="s">
        <v>516</v>
      </c>
      <c r="G278" s="5" t="s">
        <v>9</v>
      </c>
      <c r="H278" s="6">
        <v>39</v>
      </c>
      <c r="I278" s="8">
        <f t="shared" si="28"/>
        <v>6.5</v>
      </c>
      <c r="J278" s="6">
        <f t="shared" si="22"/>
        <v>3.6923076923076925</v>
      </c>
      <c r="K278" s="5"/>
      <c r="L278" s="5"/>
      <c r="M278" s="5"/>
    </row>
    <row r="279" spans="1:13" hidden="1" x14ac:dyDescent="0.3">
      <c r="A279" s="5" t="s">
        <v>517</v>
      </c>
      <c r="B279" s="5" t="s">
        <v>468</v>
      </c>
      <c r="C279" s="5">
        <v>70</v>
      </c>
      <c r="D279" s="6">
        <v>172.46196825000001</v>
      </c>
      <c r="E279" s="7">
        <f t="shared" si="21"/>
        <v>12072.337777500001</v>
      </c>
      <c r="F279" s="5" t="s">
        <v>514</v>
      </c>
      <c r="G279" s="5" t="s">
        <v>9</v>
      </c>
      <c r="H279" s="6">
        <v>114</v>
      </c>
      <c r="I279" s="8">
        <f>+H279/3.66</f>
        <v>31.147540983606557</v>
      </c>
      <c r="J279" s="6">
        <f t="shared" si="22"/>
        <v>2.2473684210526317</v>
      </c>
      <c r="K279" s="5"/>
      <c r="L279" s="5"/>
      <c r="M279" s="5"/>
    </row>
    <row r="280" spans="1:13" hidden="1" x14ac:dyDescent="0.3">
      <c r="A280" s="5" t="s">
        <v>518</v>
      </c>
      <c r="B280" s="5" t="s">
        <v>468</v>
      </c>
      <c r="C280" s="5">
        <v>10</v>
      </c>
      <c r="D280" s="6">
        <v>183.66685042</v>
      </c>
      <c r="E280" s="7">
        <f t="shared" si="21"/>
        <v>1836.6685041999999</v>
      </c>
      <c r="F280" s="5" t="s">
        <v>519</v>
      </c>
      <c r="G280" s="5" t="s">
        <v>9</v>
      </c>
      <c r="H280" s="6">
        <v>22</v>
      </c>
      <c r="I280" s="8">
        <f>+H280/6</f>
        <v>3.6666666666666665</v>
      </c>
      <c r="J280" s="6">
        <f t="shared" si="22"/>
        <v>2.7272727272727275</v>
      </c>
      <c r="K280" s="5"/>
      <c r="L280" s="5"/>
      <c r="M280" s="5"/>
    </row>
    <row r="281" spans="1:13" hidden="1" x14ac:dyDescent="0.3">
      <c r="A281" s="5" t="s">
        <v>520</v>
      </c>
      <c r="B281" s="5" t="s">
        <v>468</v>
      </c>
      <c r="C281" s="5">
        <v>5</v>
      </c>
      <c r="D281" s="6">
        <v>188.67199343999999</v>
      </c>
      <c r="E281" s="7">
        <f t="shared" si="21"/>
        <v>943.35996720000003</v>
      </c>
      <c r="F281" s="5" t="s">
        <v>521</v>
      </c>
      <c r="G281" s="5" t="s">
        <v>9</v>
      </c>
      <c r="H281" s="6">
        <v>5</v>
      </c>
      <c r="I281" s="8">
        <f>+H281/6</f>
        <v>0.83333333333333337</v>
      </c>
      <c r="J281" s="6">
        <f t="shared" si="22"/>
        <v>6</v>
      </c>
      <c r="K281" s="5"/>
      <c r="L281" s="18">
        <v>45940</v>
      </c>
      <c r="M281" s="5" t="s">
        <v>678</v>
      </c>
    </row>
    <row r="282" spans="1:13" hidden="1" x14ac:dyDescent="0.3">
      <c r="A282" s="9" t="s">
        <v>520</v>
      </c>
      <c r="B282" s="9" t="s">
        <v>468</v>
      </c>
      <c r="C282" s="9">
        <f>32-5</f>
        <v>27</v>
      </c>
      <c r="D282" s="10">
        <v>188.67199343999999</v>
      </c>
      <c r="E282" s="11">
        <f t="shared" si="21"/>
        <v>5094.1438228799998</v>
      </c>
      <c r="F282" s="9" t="s">
        <v>521</v>
      </c>
      <c r="G282" s="9" t="s">
        <v>9</v>
      </c>
      <c r="H282" s="10">
        <v>5</v>
      </c>
      <c r="I282" s="12">
        <f>+H282/6</f>
        <v>0.83333333333333337</v>
      </c>
      <c r="J282" s="10">
        <f t="shared" si="22"/>
        <v>32.4</v>
      </c>
      <c r="K282" s="9"/>
      <c r="L282" s="17">
        <v>45940</v>
      </c>
      <c r="M282" s="9" t="s">
        <v>678</v>
      </c>
    </row>
    <row r="283" spans="1:13" hidden="1" x14ac:dyDescent="0.3">
      <c r="A283" s="5" t="s">
        <v>522</v>
      </c>
      <c r="B283" s="5" t="s">
        <v>468</v>
      </c>
      <c r="C283" s="5">
        <v>6</v>
      </c>
      <c r="D283" s="6">
        <v>190.42560803000001</v>
      </c>
      <c r="E283" s="7">
        <f t="shared" si="21"/>
        <v>1142.55364818</v>
      </c>
      <c r="F283" s="5" t="s">
        <v>523</v>
      </c>
      <c r="G283" s="5" t="s">
        <v>9</v>
      </c>
      <c r="H283" s="6">
        <v>3</v>
      </c>
      <c r="I283" s="8">
        <f>+H283/2.6</f>
        <v>1.1538461538461537</v>
      </c>
      <c r="J283" s="6">
        <f t="shared" si="22"/>
        <v>5.2</v>
      </c>
      <c r="K283" s="5"/>
      <c r="L283" s="5"/>
      <c r="M283" s="5"/>
    </row>
    <row r="284" spans="1:13" hidden="1" x14ac:dyDescent="0.3">
      <c r="A284" s="9" t="s">
        <v>522</v>
      </c>
      <c r="B284" s="9" t="s">
        <v>468</v>
      </c>
      <c r="C284" s="9">
        <f>108-6</f>
        <v>102</v>
      </c>
      <c r="D284" s="10">
        <v>190.42560803000001</v>
      </c>
      <c r="E284" s="11">
        <f t="shared" ref="E284:E348" si="29">+C284*D284</f>
        <v>19423.412019060001</v>
      </c>
      <c r="F284" s="9" t="s">
        <v>523</v>
      </c>
      <c r="G284" s="9" t="s">
        <v>9</v>
      </c>
      <c r="H284" s="10">
        <v>3</v>
      </c>
      <c r="I284" s="12">
        <f>+H284/2.6</f>
        <v>1.1538461538461537</v>
      </c>
      <c r="J284" s="10">
        <f t="shared" ref="J284:J348" si="30">+C284/I284</f>
        <v>88.4</v>
      </c>
      <c r="K284" s="9"/>
      <c r="L284" s="9"/>
      <c r="M284" s="9"/>
    </row>
    <row r="285" spans="1:13" hidden="1" x14ac:dyDescent="0.3">
      <c r="A285" s="13" t="s">
        <v>524</v>
      </c>
      <c r="B285" s="13" t="s">
        <v>468</v>
      </c>
      <c r="C285" s="13">
        <v>10</v>
      </c>
      <c r="D285" s="14">
        <v>515.32360000000006</v>
      </c>
      <c r="E285" s="15">
        <f t="shared" si="29"/>
        <v>5153.2360000000008</v>
      </c>
      <c r="F285" s="13" t="s">
        <v>525</v>
      </c>
      <c r="G285" s="13" t="s">
        <v>9</v>
      </c>
      <c r="H285" s="14">
        <v>0</v>
      </c>
      <c r="I285" s="16">
        <f>+H285/6</f>
        <v>0</v>
      </c>
      <c r="J285" s="14" t="e">
        <f t="shared" si="30"/>
        <v>#DIV/0!</v>
      </c>
      <c r="K285" s="13"/>
      <c r="L285" s="13"/>
      <c r="M285" s="13"/>
    </row>
    <row r="286" spans="1:13" hidden="1" x14ac:dyDescent="0.3">
      <c r="A286" s="13" t="s">
        <v>526</v>
      </c>
      <c r="B286" s="13" t="s">
        <v>468</v>
      </c>
      <c r="C286" s="13">
        <v>3</v>
      </c>
      <c r="D286" s="14">
        <v>632.55809999999997</v>
      </c>
      <c r="E286" s="15">
        <f t="shared" si="29"/>
        <v>1897.6742999999999</v>
      </c>
      <c r="F286" s="13" t="s">
        <v>527</v>
      </c>
      <c r="G286" s="13" t="s">
        <v>9</v>
      </c>
      <c r="H286" s="14">
        <v>0</v>
      </c>
      <c r="I286" s="16">
        <f t="shared" ref="I286:I287" si="31">+H286/6</f>
        <v>0</v>
      </c>
      <c r="J286" s="14" t="e">
        <f t="shared" si="30"/>
        <v>#DIV/0!</v>
      </c>
      <c r="K286" s="13"/>
      <c r="L286" s="13"/>
      <c r="M286" s="13"/>
    </row>
    <row r="287" spans="1:13" hidden="1" x14ac:dyDescent="0.3">
      <c r="A287" s="13" t="s">
        <v>528</v>
      </c>
      <c r="B287" s="13" t="s">
        <v>468</v>
      </c>
      <c r="C287" s="13">
        <v>1</v>
      </c>
      <c r="D287" s="14">
        <v>1487.2692</v>
      </c>
      <c r="E287" s="15">
        <f t="shared" si="29"/>
        <v>1487.2692</v>
      </c>
      <c r="F287" s="13" t="s">
        <v>529</v>
      </c>
      <c r="G287" s="13" t="s">
        <v>9</v>
      </c>
      <c r="H287" s="14">
        <v>0</v>
      </c>
      <c r="I287" s="16">
        <f t="shared" si="31"/>
        <v>0</v>
      </c>
      <c r="J287" s="14" t="e">
        <f t="shared" si="30"/>
        <v>#DIV/0!</v>
      </c>
      <c r="K287" s="13"/>
      <c r="L287" s="13"/>
      <c r="M287" s="13"/>
    </row>
    <row r="288" spans="1:13" hidden="1" x14ac:dyDescent="0.3">
      <c r="A288" s="5" t="s">
        <v>530</v>
      </c>
      <c r="B288" s="5" t="s">
        <v>468</v>
      </c>
      <c r="C288" s="5">
        <v>5</v>
      </c>
      <c r="D288" s="6">
        <v>572.22743889000003</v>
      </c>
      <c r="E288" s="7">
        <f t="shared" si="29"/>
        <v>2861.1371944500002</v>
      </c>
      <c r="F288" s="5" t="s">
        <v>531</v>
      </c>
      <c r="G288" s="5" t="s">
        <v>9</v>
      </c>
      <c r="H288" s="6">
        <v>7</v>
      </c>
      <c r="I288" s="8">
        <f t="shared" ref="I288:I296" si="32">+H288/6</f>
        <v>1.1666666666666667</v>
      </c>
      <c r="J288" s="6">
        <f t="shared" si="30"/>
        <v>4.2857142857142856</v>
      </c>
      <c r="K288" s="5"/>
      <c r="L288" s="18">
        <v>45999</v>
      </c>
      <c r="M288" s="5" t="s">
        <v>679</v>
      </c>
    </row>
    <row r="289" spans="1:13" hidden="1" x14ac:dyDescent="0.3">
      <c r="A289" s="9" t="s">
        <v>530</v>
      </c>
      <c r="B289" s="9" t="s">
        <v>468</v>
      </c>
      <c r="C289" s="9">
        <f>23-5</f>
        <v>18</v>
      </c>
      <c r="D289" s="10">
        <v>572.22743889000003</v>
      </c>
      <c r="E289" s="11">
        <f t="shared" si="29"/>
        <v>10300.093900020001</v>
      </c>
      <c r="F289" s="9" t="s">
        <v>531</v>
      </c>
      <c r="G289" s="9" t="s">
        <v>9</v>
      </c>
      <c r="H289" s="10">
        <v>7</v>
      </c>
      <c r="I289" s="12">
        <f t="shared" si="32"/>
        <v>1.1666666666666667</v>
      </c>
      <c r="J289" s="10">
        <f t="shared" si="30"/>
        <v>15.428571428571427</v>
      </c>
      <c r="K289" s="9"/>
      <c r="L289" s="17">
        <v>45999</v>
      </c>
      <c r="M289" s="9" t="s">
        <v>679</v>
      </c>
    </row>
    <row r="290" spans="1:13" hidden="1" x14ac:dyDescent="0.3">
      <c r="A290" s="13" t="s">
        <v>532</v>
      </c>
      <c r="B290" s="13" t="s">
        <v>468</v>
      </c>
      <c r="C290" s="13">
        <v>4</v>
      </c>
      <c r="D290" s="14">
        <v>243.4794</v>
      </c>
      <c r="E290" s="15">
        <f t="shared" si="29"/>
        <v>973.91759999999999</v>
      </c>
      <c r="F290" s="13" t="s">
        <v>533</v>
      </c>
      <c r="G290" s="13" t="s">
        <v>9</v>
      </c>
      <c r="H290" s="14">
        <v>0</v>
      </c>
      <c r="I290" s="16">
        <f t="shared" si="32"/>
        <v>0</v>
      </c>
      <c r="J290" s="14" t="e">
        <f t="shared" si="30"/>
        <v>#DIV/0!</v>
      </c>
      <c r="K290" s="13"/>
      <c r="L290" s="13"/>
      <c r="M290" s="13"/>
    </row>
    <row r="291" spans="1:13" hidden="1" x14ac:dyDescent="0.3">
      <c r="A291" s="13" t="s">
        <v>534</v>
      </c>
      <c r="B291" s="13" t="s">
        <v>468</v>
      </c>
      <c r="C291" s="13">
        <v>1</v>
      </c>
      <c r="D291" s="14">
        <v>3153.9332203099998</v>
      </c>
      <c r="E291" s="15">
        <f t="shared" si="29"/>
        <v>3153.9332203099998</v>
      </c>
      <c r="F291" s="13" t="s">
        <v>535</v>
      </c>
      <c r="G291" s="13" t="s">
        <v>9</v>
      </c>
      <c r="H291" s="14">
        <v>0</v>
      </c>
      <c r="I291" s="16">
        <f t="shared" si="32"/>
        <v>0</v>
      </c>
      <c r="J291" s="14" t="e">
        <f t="shared" si="30"/>
        <v>#DIV/0!</v>
      </c>
      <c r="K291" s="13"/>
      <c r="L291" s="13"/>
      <c r="M291" s="13"/>
    </row>
    <row r="292" spans="1:13" hidden="1" x14ac:dyDescent="0.3">
      <c r="A292" s="5" t="s">
        <v>536</v>
      </c>
      <c r="B292" s="5" t="s">
        <v>468</v>
      </c>
      <c r="C292" s="5">
        <v>84</v>
      </c>
      <c r="D292" s="6">
        <v>2574.6470109000002</v>
      </c>
      <c r="E292" s="7">
        <f t="shared" si="29"/>
        <v>216270.34891560001</v>
      </c>
      <c r="F292" s="5" t="s">
        <v>537</v>
      </c>
      <c r="G292" s="5" t="s">
        <v>9</v>
      </c>
      <c r="H292" s="6">
        <v>114</v>
      </c>
      <c r="I292" s="8">
        <f t="shared" si="32"/>
        <v>19</v>
      </c>
      <c r="J292" s="6">
        <f t="shared" si="30"/>
        <v>4.4210526315789478</v>
      </c>
      <c r="K292" s="5"/>
      <c r="L292" s="5"/>
      <c r="M292" s="5"/>
    </row>
    <row r="293" spans="1:13" hidden="1" x14ac:dyDescent="0.3">
      <c r="A293" s="5" t="s">
        <v>538</v>
      </c>
      <c r="B293" s="5" t="s">
        <v>468</v>
      </c>
      <c r="C293" s="5">
        <v>18</v>
      </c>
      <c r="D293" s="6">
        <v>2269.7493445499999</v>
      </c>
      <c r="E293" s="7">
        <f t="shared" si="29"/>
        <v>40855.4882019</v>
      </c>
      <c r="F293" s="5" t="s">
        <v>539</v>
      </c>
      <c r="G293" s="5" t="s">
        <v>9</v>
      </c>
      <c r="H293" s="6">
        <v>27</v>
      </c>
      <c r="I293" s="8">
        <f t="shared" si="32"/>
        <v>4.5</v>
      </c>
      <c r="J293" s="6">
        <f t="shared" si="30"/>
        <v>4</v>
      </c>
      <c r="K293" s="5"/>
      <c r="L293" s="5"/>
      <c r="M293" s="5"/>
    </row>
    <row r="294" spans="1:13" hidden="1" x14ac:dyDescent="0.3">
      <c r="A294" s="5" t="s">
        <v>540</v>
      </c>
      <c r="B294" s="5" t="s">
        <v>468</v>
      </c>
      <c r="C294" s="5">
        <v>9</v>
      </c>
      <c r="D294" s="6">
        <v>181.90747826</v>
      </c>
      <c r="E294" s="7">
        <f t="shared" si="29"/>
        <v>1637.1673043400001</v>
      </c>
      <c r="F294" s="5" t="s">
        <v>541</v>
      </c>
      <c r="G294" s="5" t="s">
        <v>9</v>
      </c>
      <c r="H294" s="6">
        <v>5</v>
      </c>
      <c r="I294" s="8">
        <f t="shared" si="32"/>
        <v>0.83333333333333337</v>
      </c>
      <c r="J294" s="6">
        <f t="shared" si="30"/>
        <v>10.799999999999999</v>
      </c>
      <c r="K294" s="5"/>
      <c r="L294" s="18">
        <v>46042</v>
      </c>
      <c r="M294" s="5" t="s">
        <v>679</v>
      </c>
    </row>
    <row r="295" spans="1:13" hidden="1" x14ac:dyDescent="0.3">
      <c r="A295" s="9" t="s">
        <v>540</v>
      </c>
      <c r="B295" s="9" t="s">
        <v>468</v>
      </c>
      <c r="C295" s="9">
        <f>21-9</f>
        <v>12</v>
      </c>
      <c r="D295" s="10">
        <v>181.90747826</v>
      </c>
      <c r="E295" s="11">
        <f t="shared" si="29"/>
        <v>2182.8897391199998</v>
      </c>
      <c r="F295" s="9" t="s">
        <v>541</v>
      </c>
      <c r="G295" s="9" t="s">
        <v>9</v>
      </c>
      <c r="H295" s="10">
        <v>5</v>
      </c>
      <c r="I295" s="12">
        <f t="shared" si="32"/>
        <v>0.83333333333333337</v>
      </c>
      <c r="J295" s="10">
        <f t="shared" si="30"/>
        <v>14.399999999999999</v>
      </c>
      <c r="K295" s="9"/>
      <c r="L295" s="17">
        <v>46042</v>
      </c>
      <c r="M295" s="9" t="s">
        <v>679</v>
      </c>
    </row>
    <row r="296" spans="1:13" hidden="1" x14ac:dyDescent="0.3">
      <c r="A296" s="5" t="s">
        <v>542</v>
      </c>
      <c r="B296" s="5" t="s">
        <v>468</v>
      </c>
      <c r="C296" s="5">
        <v>80</v>
      </c>
      <c r="D296" s="6">
        <v>5787.1090753899998</v>
      </c>
      <c r="E296" s="7">
        <f t="shared" si="29"/>
        <v>462968.72603119997</v>
      </c>
      <c r="F296" s="5" t="s">
        <v>543</v>
      </c>
      <c r="G296" s="5" t="s">
        <v>9</v>
      </c>
      <c r="H296" s="6">
        <v>208</v>
      </c>
      <c r="I296" s="8">
        <f t="shared" si="32"/>
        <v>34.666666666666664</v>
      </c>
      <c r="J296" s="6">
        <f t="shared" si="30"/>
        <v>2.3076923076923079</v>
      </c>
      <c r="K296" s="5"/>
      <c r="L296" s="5"/>
      <c r="M296" s="5"/>
    </row>
    <row r="297" spans="1:13" hidden="1" x14ac:dyDescent="0.3">
      <c r="A297" s="5" t="s">
        <v>544</v>
      </c>
      <c r="B297" s="5" t="s">
        <v>468</v>
      </c>
      <c r="C297" s="5">
        <v>13</v>
      </c>
      <c r="D297" s="6">
        <v>206.38249999999999</v>
      </c>
      <c r="E297" s="7">
        <f t="shared" si="29"/>
        <v>2682.9724999999999</v>
      </c>
      <c r="F297" s="5" t="s">
        <v>545</v>
      </c>
      <c r="G297" s="5" t="s">
        <v>9</v>
      </c>
      <c r="H297" s="6">
        <v>7</v>
      </c>
      <c r="I297" s="8">
        <f>+H297/1</f>
        <v>7</v>
      </c>
      <c r="J297" s="6">
        <f t="shared" si="30"/>
        <v>1.8571428571428572</v>
      </c>
      <c r="K297" s="5"/>
      <c r="L297" s="18">
        <v>46042</v>
      </c>
      <c r="M297" s="5" t="s">
        <v>673</v>
      </c>
    </row>
    <row r="298" spans="1:13" hidden="1" x14ac:dyDescent="0.3">
      <c r="A298" s="13" t="s">
        <v>546</v>
      </c>
      <c r="B298" s="13" t="s">
        <v>468</v>
      </c>
      <c r="C298" s="13">
        <v>1</v>
      </c>
      <c r="D298" s="14">
        <v>3893.1378</v>
      </c>
      <c r="E298" s="15">
        <f t="shared" si="29"/>
        <v>3893.1378</v>
      </c>
      <c r="F298" s="13" t="s">
        <v>547</v>
      </c>
      <c r="G298" s="13" t="s">
        <v>9</v>
      </c>
      <c r="H298" s="14">
        <v>0</v>
      </c>
      <c r="I298" s="16">
        <f t="shared" ref="I298:I329" si="33">+H298/6</f>
        <v>0</v>
      </c>
      <c r="J298" s="14" t="e">
        <f t="shared" si="30"/>
        <v>#DIV/0!</v>
      </c>
      <c r="K298" s="13"/>
      <c r="L298" s="13"/>
      <c r="M298" s="13"/>
    </row>
    <row r="299" spans="1:13" hidden="1" x14ac:dyDescent="0.3">
      <c r="A299" s="13" t="s">
        <v>548</v>
      </c>
      <c r="B299" s="13" t="s">
        <v>468</v>
      </c>
      <c r="C299" s="13">
        <v>1</v>
      </c>
      <c r="D299" s="14">
        <v>15168.429</v>
      </c>
      <c r="E299" s="15">
        <f t="shared" si="29"/>
        <v>15168.429</v>
      </c>
      <c r="F299" s="13" t="s">
        <v>549</v>
      </c>
      <c r="G299" s="13" t="s">
        <v>9</v>
      </c>
      <c r="H299" s="14">
        <v>0</v>
      </c>
      <c r="I299" s="16">
        <f t="shared" si="33"/>
        <v>0</v>
      </c>
      <c r="J299" s="14" t="e">
        <f t="shared" si="30"/>
        <v>#DIV/0!</v>
      </c>
      <c r="K299" s="13"/>
      <c r="L299" s="13"/>
      <c r="M299" s="13"/>
    </row>
    <row r="300" spans="1:13" hidden="1" x14ac:dyDescent="0.3">
      <c r="A300" s="5" t="s">
        <v>550</v>
      </c>
      <c r="B300" s="5" t="s">
        <v>468</v>
      </c>
      <c r="C300" s="5">
        <v>87</v>
      </c>
      <c r="D300" s="6">
        <v>7179.7212635300002</v>
      </c>
      <c r="E300" s="7">
        <f t="shared" si="29"/>
        <v>624635.74992711004</v>
      </c>
      <c r="F300" s="5" t="s">
        <v>551</v>
      </c>
      <c r="G300" s="5" t="s">
        <v>9</v>
      </c>
      <c r="H300" s="6">
        <v>160</v>
      </c>
      <c r="I300" s="8">
        <f t="shared" si="33"/>
        <v>26.666666666666668</v>
      </c>
      <c r="J300" s="6">
        <f t="shared" si="30"/>
        <v>3.2624999999999997</v>
      </c>
      <c r="K300" s="5"/>
      <c r="L300" s="5"/>
      <c r="M300" s="5"/>
    </row>
    <row r="301" spans="1:13" hidden="1" x14ac:dyDescent="0.3">
      <c r="A301" s="5" t="s">
        <v>552</v>
      </c>
      <c r="B301" s="5" t="s">
        <v>468</v>
      </c>
      <c r="C301" s="5">
        <v>86</v>
      </c>
      <c r="D301" s="6">
        <v>11072.737124679999</v>
      </c>
      <c r="E301" s="7">
        <f t="shared" si="29"/>
        <v>952255.39272248</v>
      </c>
      <c r="F301" s="5" t="s">
        <v>553</v>
      </c>
      <c r="G301" s="5" t="s">
        <v>9</v>
      </c>
      <c r="H301" s="6">
        <v>312</v>
      </c>
      <c r="I301" s="8">
        <f t="shared" si="33"/>
        <v>52</v>
      </c>
      <c r="J301" s="6">
        <f t="shared" si="30"/>
        <v>1.6538461538461537</v>
      </c>
      <c r="K301" s="5"/>
      <c r="L301" s="5"/>
      <c r="M301" s="5"/>
    </row>
    <row r="302" spans="1:13" hidden="1" x14ac:dyDescent="0.3">
      <c r="A302" s="5" t="s">
        <v>554</v>
      </c>
      <c r="B302" s="5" t="s">
        <v>468</v>
      </c>
      <c r="C302" s="5">
        <v>2</v>
      </c>
      <c r="D302" s="6">
        <v>35787.905287920003</v>
      </c>
      <c r="E302" s="7">
        <f t="shared" si="29"/>
        <v>71575.810575840005</v>
      </c>
      <c r="F302" s="5" t="s">
        <v>555</v>
      </c>
      <c r="G302" s="5" t="s">
        <v>9</v>
      </c>
      <c r="H302" s="6">
        <v>0</v>
      </c>
      <c r="I302" s="8">
        <f t="shared" si="33"/>
        <v>0</v>
      </c>
      <c r="J302" s="6" t="e">
        <f t="shared" si="30"/>
        <v>#DIV/0!</v>
      </c>
      <c r="K302" s="5"/>
      <c r="L302" s="5"/>
      <c r="M302" s="5" t="s">
        <v>556</v>
      </c>
    </row>
    <row r="303" spans="1:13" hidden="1" x14ac:dyDescent="0.3">
      <c r="A303" s="5" t="s">
        <v>556</v>
      </c>
      <c r="B303" s="5" t="s">
        <v>468</v>
      </c>
      <c r="C303" s="5">
        <v>35</v>
      </c>
      <c r="D303" s="6">
        <v>31522.976795850002</v>
      </c>
      <c r="E303" s="7">
        <f t="shared" si="29"/>
        <v>1103304.1878547501</v>
      </c>
      <c r="F303" s="5" t="s">
        <v>557</v>
      </c>
      <c r="G303" s="5" t="s">
        <v>9</v>
      </c>
      <c r="H303" s="6">
        <v>63</v>
      </c>
      <c r="I303" s="8">
        <f t="shared" si="33"/>
        <v>10.5</v>
      </c>
      <c r="J303" s="6">
        <f t="shared" si="30"/>
        <v>3.3333333333333335</v>
      </c>
      <c r="K303" s="5"/>
      <c r="L303" s="5"/>
      <c r="M303" s="5"/>
    </row>
    <row r="304" spans="1:13" hidden="1" x14ac:dyDescent="0.3">
      <c r="A304" s="5" t="s">
        <v>558</v>
      </c>
      <c r="B304" s="5" t="s">
        <v>468</v>
      </c>
      <c r="C304" s="5">
        <v>3</v>
      </c>
      <c r="D304" s="6">
        <v>26441.467199999999</v>
      </c>
      <c r="E304" s="7">
        <f t="shared" si="29"/>
        <v>79324.401599999997</v>
      </c>
      <c r="F304" s="5" t="s">
        <v>559</v>
      </c>
      <c r="G304" s="5" t="s">
        <v>9</v>
      </c>
      <c r="H304" s="6">
        <v>30</v>
      </c>
      <c r="I304" s="8">
        <f t="shared" si="33"/>
        <v>5</v>
      </c>
      <c r="J304" s="6">
        <f t="shared" si="30"/>
        <v>0.6</v>
      </c>
      <c r="K304" s="5"/>
      <c r="L304" s="5"/>
      <c r="M304" s="5"/>
    </row>
    <row r="305" spans="1:13" hidden="1" x14ac:dyDescent="0.3">
      <c r="A305" s="5" t="s">
        <v>560</v>
      </c>
      <c r="B305" s="5" t="s">
        <v>468</v>
      </c>
      <c r="C305" s="5">
        <v>11</v>
      </c>
      <c r="D305" s="6">
        <v>16639.85061234</v>
      </c>
      <c r="E305" s="7">
        <f t="shared" si="29"/>
        <v>183038.35673574</v>
      </c>
      <c r="F305" s="5" t="s">
        <v>561</v>
      </c>
      <c r="G305" s="5" t="s">
        <v>9</v>
      </c>
      <c r="H305" s="6">
        <v>43</v>
      </c>
      <c r="I305" s="8">
        <f t="shared" si="33"/>
        <v>7.166666666666667</v>
      </c>
      <c r="J305" s="6">
        <f t="shared" si="30"/>
        <v>1.5348837209302324</v>
      </c>
      <c r="K305" s="5"/>
      <c r="L305" s="5"/>
      <c r="M305" s="5"/>
    </row>
    <row r="306" spans="1:13" hidden="1" x14ac:dyDescent="0.3">
      <c r="A306" s="13" t="s">
        <v>562</v>
      </c>
      <c r="B306" s="13" t="s">
        <v>468</v>
      </c>
      <c r="C306" s="13">
        <v>1</v>
      </c>
      <c r="D306" s="14">
        <v>2974.5383999999999</v>
      </c>
      <c r="E306" s="15">
        <f t="shared" si="29"/>
        <v>2974.5383999999999</v>
      </c>
      <c r="F306" s="13" t="s">
        <v>563</v>
      </c>
      <c r="G306" s="13" t="s">
        <v>9</v>
      </c>
      <c r="H306" s="14">
        <v>0</v>
      </c>
      <c r="I306" s="16">
        <f t="shared" si="33"/>
        <v>0</v>
      </c>
      <c r="J306" s="14" t="e">
        <f t="shared" si="30"/>
        <v>#DIV/0!</v>
      </c>
      <c r="K306" s="13"/>
      <c r="L306" s="13"/>
      <c r="M306" s="13"/>
    </row>
    <row r="307" spans="1:13" hidden="1" x14ac:dyDescent="0.3">
      <c r="A307" s="5" t="s">
        <v>564</v>
      </c>
      <c r="B307" s="5" t="s">
        <v>565</v>
      </c>
      <c r="C307" s="5">
        <f>105*5</f>
        <v>525</v>
      </c>
      <c r="D307" s="6">
        <v>257.69284150999999</v>
      </c>
      <c r="E307" s="7">
        <f t="shared" si="29"/>
        <v>135288.74179274999</v>
      </c>
      <c r="F307" s="5" t="s">
        <v>566</v>
      </c>
      <c r="G307" s="5" t="s">
        <v>9</v>
      </c>
      <c r="H307" s="6">
        <v>624</v>
      </c>
      <c r="I307" s="8">
        <f t="shared" si="33"/>
        <v>104</v>
      </c>
      <c r="J307" s="6">
        <f t="shared" si="30"/>
        <v>5.0480769230769234</v>
      </c>
      <c r="K307" s="5"/>
      <c r="L307" s="18">
        <v>45937</v>
      </c>
      <c r="M307" s="5" t="s">
        <v>684</v>
      </c>
    </row>
    <row r="308" spans="1:13" hidden="1" x14ac:dyDescent="0.3">
      <c r="A308" s="9" t="s">
        <v>564</v>
      </c>
      <c r="B308" s="9" t="s">
        <v>565</v>
      </c>
      <c r="C308" s="9">
        <f>1455-525</f>
        <v>930</v>
      </c>
      <c r="D308" s="10">
        <v>257.69284150999999</v>
      </c>
      <c r="E308" s="11">
        <f t="shared" si="29"/>
        <v>239654.34260430001</v>
      </c>
      <c r="F308" s="9" t="s">
        <v>566</v>
      </c>
      <c r="G308" s="9" t="s">
        <v>9</v>
      </c>
      <c r="H308" s="10">
        <v>624</v>
      </c>
      <c r="I308" s="12">
        <f t="shared" si="33"/>
        <v>104</v>
      </c>
      <c r="J308" s="10">
        <f t="shared" si="30"/>
        <v>8.9423076923076916</v>
      </c>
      <c r="K308" s="9"/>
      <c r="L308" s="17">
        <v>45937</v>
      </c>
      <c r="M308" s="9" t="s">
        <v>684</v>
      </c>
    </row>
    <row r="309" spans="1:13" hidden="1" x14ac:dyDescent="0.3">
      <c r="A309" s="5" t="s">
        <v>567</v>
      </c>
      <c r="B309" s="5" t="s">
        <v>565</v>
      </c>
      <c r="C309" s="5">
        <v>702</v>
      </c>
      <c r="D309" s="6">
        <v>329.82556926000001</v>
      </c>
      <c r="E309" s="7">
        <f t="shared" si="29"/>
        <v>231537.54962052</v>
      </c>
      <c r="F309" s="5" t="s">
        <v>568</v>
      </c>
      <c r="G309" s="5" t="s">
        <v>9</v>
      </c>
      <c r="H309" s="6">
        <v>842</v>
      </c>
      <c r="I309" s="8">
        <f t="shared" si="33"/>
        <v>140.33333333333334</v>
      </c>
      <c r="J309" s="6">
        <f t="shared" si="30"/>
        <v>5.0023752969121134</v>
      </c>
      <c r="K309" s="5"/>
      <c r="L309" s="5"/>
      <c r="M309" s="5"/>
    </row>
    <row r="310" spans="1:13" hidden="1" x14ac:dyDescent="0.3">
      <c r="A310" s="5" t="s">
        <v>569</v>
      </c>
      <c r="B310" s="5" t="s">
        <v>565</v>
      </c>
      <c r="C310" s="5">
        <v>99</v>
      </c>
      <c r="D310" s="6">
        <v>385.16511221000002</v>
      </c>
      <c r="E310" s="7">
        <f t="shared" si="29"/>
        <v>38131.34610879</v>
      </c>
      <c r="F310" s="5" t="s">
        <v>570</v>
      </c>
      <c r="G310" s="5" t="s">
        <v>9</v>
      </c>
      <c r="H310" s="6">
        <v>258</v>
      </c>
      <c r="I310" s="8">
        <f t="shared" si="33"/>
        <v>43</v>
      </c>
      <c r="J310" s="6">
        <f t="shared" si="30"/>
        <v>2.3023255813953489</v>
      </c>
      <c r="K310" s="5"/>
      <c r="L310" s="5"/>
      <c r="M310" s="5"/>
    </row>
    <row r="311" spans="1:13" hidden="1" x14ac:dyDescent="0.3">
      <c r="A311" s="5" t="s">
        <v>571</v>
      </c>
      <c r="B311" s="5" t="s">
        <v>565</v>
      </c>
      <c r="C311" s="5">
        <v>50</v>
      </c>
      <c r="D311" s="6">
        <v>130.91882817000001</v>
      </c>
      <c r="E311" s="7">
        <f t="shared" si="29"/>
        <v>6545.9414085000008</v>
      </c>
      <c r="F311" s="5" t="s">
        <v>572</v>
      </c>
      <c r="G311" s="5" t="s">
        <v>9</v>
      </c>
      <c r="H311" s="6">
        <v>53</v>
      </c>
      <c r="I311" s="8">
        <f t="shared" si="33"/>
        <v>8.8333333333333339</v>
      </c>
      <c r="J311" s="6">
        <f t="shared" si="30"/>
        <v>5.6603773584905657</v>
      </c>
      <c r="K311" s="5"/>
      <c r="L311" s="5"/>
      <c r="M311" s="5"/>
    </row>
    <row r="312" spans="1:13" hidden="1" x14ac:dyDescent="0.3">
      <c r="A312" s="9" t="s">
        <v>571</v>
      </c>
      <c r="B312" s="9" t="s">
        <v>565</v>
      </c>
      <c r="C312" s="9">
        <f>58-50</f>
        <v>8</v>
      </c>
      <c r="D312" s="10">
        <v>130.91882817000001</v>
      </c>
      <c r="E312" s="11">
        <f t="shared" si="29"/>
        <v>1047.3506253600001</v>
      </c>
      <c r="F312" s="9" t="s">
        <v>572</v>
      </c>
      <c r="G312" s="9" t="s">
        <v>9</v>
      </c>
      <c r="H312" s="10">
        <v>53</v>
      </c>
      <c r="I312" s="12">
        <f t="shared" si="33"/>
        <v>8.8333333333333339</v>
      </c>
      <c r="J312" s="10">
        <f t="shared" si="30"/>
        <v>0.90566037735849048</v>
      </c>
      <c r="K312" s="9"/>
      <c r="L312" s="9"/>
      <c r="M312" s="9"/>
    </row>
    <row r="313" spans="1:13" hidden="1" x14ac:dyDescent="0.3">
      <c r="A313" s="5" t="s">
        <v>573</v>
      </c>
      <c r="B313" s="5" t="s">
        <v>565</v>
      </c>
      <c r="C313" s="5">
        <v>2</v>
      </c>
      <c r="D313" s="6">
        <v>108.0859</v>
      </c>
      <c r="E313" s="7">
        <f t="shared" si="29"/>
        <v>216.17179999999999</v>
      </c>
      <c r="F313" s="5" t="s">
        <v>574</v>
      </c>
      <c r="G313" s="5" t="s">
        <v>9</v>
      </c>
      <c r="H313" s="6">
        <v>33</v>
      </c>
      <c r="I313" s="8">
        <f t="shared" si="33"/>
        <v>5.5</v>
      </c>
      <c r="J313" s="6">
        <f t="shared" si="30"/>
        <v>0.36363636363636365</v>
      </c>
      <c r="K313" s="5"/>
      <c r="L313" s="5"/>
      <c r="M313" s="5"/>
    </row>
    <row r="314" spans="1:13" hidden="1" x14ac:dyDescent="0.3">
      <c r="A314" s="5" t="s">
        <v>575</v>
      </c>
      <c r="B314" s="5" t="s">
        <v>565</v>
      </c>
      <c r="C314" s="5">
        <f>130*5</f>
        <v>650</v>
      </c>
      <c r="D314" s="6">
        <v>105.79868897999999</v>
      </c>
      <c r="E314" s="7">
        <f t="shared" si="29"/>
        <v>68769.147836999997</v>
      </c>
      <c r="F314" s="5" t="s">
        <v>576</v>
      </c>
      <c r="G314" s="5" t="s">
        <v>9</v>
      </c>
      <c r="H314" s="6">
        <v>733</v>
      </c>
      <c r="I314" s="8">
        <f t="shared" si="33"/>
        <v>122.16666666666667</v>
      </c>
      <c r="J314" s="6">
        <f t="shared" si="30"/>
        <v>5.320600272851296</v>
      </c>
      <c r="K314" s="5"/>
      <c r="L314" s="5"/>
      <c r="M314" s="5"/>
    </row>
    <row r="315" spans="1:13" hidden="1" x14ac:dyDescent="0.3">
      <c r="A315" s="9" t="s">
        <v>575</v>
      </c>
      <c r="B315" s="9" t="s">
        <v>565</v>
      </c>
      <c r="C315" s="9">
        <f>867-650</f>
        <v>217</v>
      </c>
      <c r="D315" s="10">
        <v>105.79868897999999</v>
      </c>
      <c r="E315" s="11">
        <f t="shared" si="29"/>
        <v>22958.315508659998</v>
      </c>
      <c r="F315" s="9" t="s">
        <v>576</v>
      </c>
      <c r="G315" s="9" t="s">
        <v>9</v>
      </c>
      <c r="H315" s="10">
        <v>733</v>
      </c>
      <c r="I315" s="12">
        <f t="shared" si="33"/>
        <v>122.16666666666667</v>
      </c>
      <c r="J315" s="10">
        <f t="shared" si="30"/>
        <v>1.7762619372442019</v>
      </c>
      <c r="K315" s="9"/>
      <c r="L315" s="9"/>
      <c r="M315" s="9"/>
    </row>
    <row r="316" spans="1:13" hidden="1" x14ac:dyDescent="0.3">
      <c r="A316" s="5" t="s">
        <v>577</v>
      </c>
      <c r="B316" s="5" t="s">
        <v>565</v>
      </c>
      <c r="C316" s="5">
        <f>290*5</f>
        <v>1450</v>
      </c>
      <c r="D316" s="6">
        <v>127.57777302</v>
      </c>
      <c r="E316" s="7">
        <f t="shared" si="29"/>
        <v>184987.77087899999</v>
      </c>
      <c r="F316" s="5" t="s">
        <v>578</v>
      </c>
      <c r="G316" s="5" t="s">
        <v>9</v>
      </c>
      <c r="H316" s="6">
        <v>1690</v>
      </c>
      <c r="I316" s="8">
        <f t="shared" si="33"/>
        <v>281.66666666666669</v>
      </c>
      <c r="J316" s="6">
        <f t="shared" si="30"/>
        <v>5.1479289940828403</v>
      </c>
      <c r="K316" s="5"/>
      <c r="L316" s="5"/>
      <c r="M316" s="5"/>
    </row>
    <row r="317" spans="1:13" hidden="1" x14ac:dyDescent="0.3">
      <c r="A317" s="9" t="s">
        <v>577</v>
      </c>
      <c r="B317" s="9" t="s">
        <v>565</v>
      </c>
      <c r="C317" s="9">
        <f>3742-1450</f>
        <v>2292</v>
      </c>
      <c r="D317" s="10">
        <v>127.57777302</v>
      </c>
      <c r="E317" s="11">
        <f t="shared" si="29"/>
        <v>292408.25576183997</v>
      </c>
      <c r="F317" s="9" t="s">
        <v>578</v>
      </c>
      <c r="G317" s="9" t="s">
        <v>9</v>
      </c>
      <c r="H317" s="10">
        <v>1690</v>
      </c>
      <c r="I317" s="12">
        <f t="shared" si="33"/>
        <v>281.66666666666669</v>
      </c>
      <c r="J317" s="10">
        <f t="shared" si="30"/>
        <v>8.1372781065088748</v>
      </c>
      <c r="K317" s="9"/>
      <c r="L317" s="9"/>
      <c r="M317" s="9"/>
    </row>
    <row r="318" spans="1:13" hidden="1" x14ac:dyDescent="0.3">
      <c r="A318" s="5" t="s">
        <v>579</v>
      </c>
      <c r="B318" s="5" t="s">
        <v>565</v>
      </c>
      <c r="C318" s="5">
        <v>1067</v>
      </c>
      <c r="D318" s="6">
        <v>164.83612597999999</v>
      </c>
      <c r="E318" s="7">
        <f t="shared" si="29"/>
        <v>175880.14642065999</v>
      </c>
      <c r="F318" s="5" t="s">
        <v>580</v>
      </c>
      <c r="G318" s="5" t="s">
        <v>9</v>
      </c>
      <c r="H318" s="6">
        <v>956</v>
      </c>
      <c r="I318" s="8">
        <f t="shared" si="33"/>
        <v>159.33333333333334</v>
      </c>
      <c r="J318" s="6">
        <f t="shared" si="30"/>
        <v>6.6966527196652716</v>
      </c>
      <c r="K318" s="5"/>
      <c r="L318" s="5"/>
      <c r="M318" s="5"/>
    </row>
    <row r="319" spans="1:13" hidden="1" x14ac:dyDescent="0.3">
      <c r="A319" s="5" t="s">
        <v>581</v>
      </c>
      <c r="B319" s="5" t="s">
        <v>565</v>
      </c>
      <c r="C319" s="5">
        <f>315*5</f>
        <v>1575</v>
      </c>
      <c r="D319" s="6">
        <v>41.332047260000003</v>
      </c>
      <c r="E319" s="7">
        <f t="shared" si="29"/>
        <v>65097.974434500007</v>
      </c>
      <c r="F319" s="5" t="s">
        <v>582</v>
      </c>
      <c r="G319" s="5" t="s">
        <v>9</v>
      </c>
      <c r="H319" s="6">
        <v>1867</v>
      </c>
      <c r="I319" s="8">
        <f t="shared" si="33"/>
        <v>311.16666666666669</v>
      </c>
      <c r="J319" s="6">
        <f t="shared" si="30"/>
        <v>5.0615961435457955</v>
      </c>
      <c r="K319" s="5"/>
      <c r="L319" s="5"/>
      <c r="M319" s="5"/>
    </row>
    <row r="320" spans="1:13" hidden="1" x14ac:dyDescent="0.3">
      <c r="A320" s="9" t="s">
        <v>581</v>
      </c>
      <c r="B320" s="9" t="s">
        <v>565</v>
      </c>
      <c r="C320" s="9">
        <f>7953-1575</f>
        <v>6378</v>
      </c>
      <c r="D320" s="10">
        <v>41.332047260000003</v>
      </c>
      <c r="E320" s="11">
        <f t="shared" si="29"/>
        <v>263615.79742428003</v>
      </c>
      <c r="F320" s="9" t="s">
        <v>582</v>
      </c>
      <c r="G320" s="9" t="s">
        <v>9</v>
      </c>
      <c r="H320" s="10">
        <v>1867</v>
      </c>
      <c r="I320" s="12">
        <f t="shared" si="33"/>
        <v>311.16666666666669</v>
      </c>
      <c r="J320" s="10">
        <f t="shared" si="30"/>
        <v>20.497054097482589</v>
      </c>
      <c r="K320" s="9"/>
      <c r="L320" s="9"/>
      <c r="M320" s="9"/>
    </row>
    <row r="321" spans="1:13" hidden="1" x14ac:dyDescent="0.3">
      <c r="A321" s="5" t="s">
        <v>583</v>
      </c>
      <c r="B321" s="5" t="s">
        <v>565</v>
      </c>
      <c r="C321" s="5">
        <v>10</v>
      </c>
      <c r="D321" s="6">
        <v>52.852317239999998</v>
      </c>
      <c r="E321" s="7">
        <f t="shared" si="29"/>
        <v>528.52317240000002</v>
      </c>
      <c r="F321" s="5" t="s">
        <v>584</v>
      </c>
      <c r="G321" s="5" t="s">
        <v>9</v>
      </c>
      <c r="H321" s="6">
        <v>12</v>
      </c>
      <c r="I321" s="8">
        <f t="shared" si="33"/>
        <v>2</v>
      </c>
      <c r="J321" s="6">
        <f t="shared" si="30"/>
        <v>5</v>
      </c>
      <c r="K321" s="5"/>
      <c r="L321" s="5"/>
      <c r="M321" s="5"/>
    </row>
    <row r="322" spans="1:13" hidden="1" x14ac:dyDescent="0.3">
      <c r="A322" s="9" t="s">
        <v>583</v>
      </c>
      <c r="B322" s="9" t="s">
        <v>565</v>
      </c>
      <c r="C322" s="9">
        <f>58-10</f>
        <v>48</v>
      </c>
      <c r="D322" s="10">
        <v>52.852317239999998</v>
      </c>
      <c r="E322" s="11">
        <f t="shared" si="29"/>
        <v>2536.91122752</v>
      </c>
      <c r="F322" s="9" t="s">
        <v>584</v>
      </c>
      <c r="G322" s="9" t="s">
        <v>9</v>
      </c>
      <c r="H322" s="10">
        <v>12</v>
      </c>
      <c r="I322" s="12">
        <f t="shared" si="33"/>
        <v>2</v>
      </c>
      <c r="J322" s="10">
        <f t="shared" si="30"/>
        <v>24</v>
      </c>
      <c r="K322" s="9"/>
      <c r="L322" s="9"/>
      <c r="M322" s="9"/>
    </row>
    <row r="323" spans="1:13" hidden="1" x14ac:dyDescent="0.3">
      <c r="A323" s="5" t="s">
        <v>585</v>
      </c>
      <c r="B323" s="5" t="s">
        <v>565</v>
      </c>
      <c r="C323" s="5">
        <v>3</v>
      </c>
      <c r="D323" s="6">
        <v>122.91412327</v>
      </c>
      <c r="E323" s="7">
        <f t="shared" si="29"/>
        <v>368.74236981000001</v>
      </c>
      <c r="F323" s="5" t="s">
        <v>586</v>
      </c>
      <c r="G323" s="5" t="s">
        <v>9</v>
      </c>
      <c r="H323" s="6">
        <v>44</v>
      </c>
      <c r="I323" s="8">
        <f t="shared" si="33"/>
        <v>7.333333333333333</v>
      </c>
      <c r="J323" s="6">
        <f t="shared" si="30"/>
        <v>0.40909090909090912</v>
      </c>
      <c r="K323" s="5"/>
      <c r="L323" s="5"/>
      <c r="M323" s="5"/>
    </row>
    <row r="324" spans="1:13" hidden="1" x14ac:dyDescent="0.3">
      <c r="A324" s="5" t="s">
        <v>587</v>
      </c>
      <c r="B324" s="5" t="s">
        <v>565</v>
      </c>
      <c r="C324" s="5">
        <v>723</v>
      </c>
      <c r="D324" s="6">
        <v>54.25240668</v>
      </c>
      <c r="E324" s="7">
        <f t="shared" si="29"/>
        <v>39224.490029640001</v>
      </c>
      <c r="F324" s="5" t="s">
        <v>588</v>
      </c>
      <c r="G324" s="5" t="s">
        <v>9</v>
      </c>
      <c r="H324" s="6">
        <v>1768</v>
      </c>
      <c r="I324" s="8">
        <f t="shared" si="33"/>
        <v>294.66666666666669</v>
      </c>
      <c r="J324" s="6">
        <f t="shared" si="30"/>
        <v>2.4536199095022622</v>
      </c>
      <c r="K324" s="5"/>
      <c r="L324" s="5"/>
      <c r="M324" s="5"/>
    </row>
    <row r="325" spans="1:13" hidden="1" x14ac:dyDescent="0.3">
      <c r="A325" s="5" t="s">
        <v>589</v>
      </c>
      <c r="B325" s="5" t="s">
        <v>565</v>
      </c>
      <c r="C325" s="5">
        <v>18</v>
      </c>
      <c r="D325" s="6">
        <v>77.868799999999993</v>
      </c>
      <c r="E325" s="7">
        <f t="shared" si="29"/>
        <v>1401.6383999999998</v>
      </c>
      <c r="F325" s="5" t="s">
        <v>590</v>
      </c>
      <c r="G325" s="5" t="s">
        <v>9</v>
      </c>
      <c r="H325" s="6">
        <v>20</v>
      </c>
      <c r="I325" s="8">
        <f t="shared" si="33"/>
        <v>3.3333333333333335</v>
      </c>
      <c r="J325" s="6">
        <f t="shared" si="30"/>
        <v>5.3999999999999995</v>
      </c>
      <c r="K325" s="5"/>
      <c r="L325" s="5"/>
      <c r="M325" s="5"/>
    </row>
    <row r="326" spans="1:13" hidden="1" x14ac:dyDescent="0.3">
      <c r="A326" s="9" t="s">
        <v>589</v>
      </c>
      <c r="B326" s="9" t="s">
        <v>565</v>
      </c>
      <c r="C326" s="9">
        <f>80-18</f>
        <v>62</v>
      </c>
      <c r="D326" s="10">
        <v>77.868799999999993</v>
      </c>
      <c r="E326" s="11">
        <f t="shared" si="29"/>
        <v>4827.8655999999992</v>
      </c>
      <c r="F326" s="9" t="s">
        <v>590</v>
      </c>
      <c r="G326" s="9" t="s">
        <v>9</v>
      </c>
      <c r="H326" s="10">
        <v>20</v>
      </c>
      <c r="I326" s="12">
        <f t="shared" si="33"/>
        <v>3.3333333333333335</v>
      </c>
      <c r="J326" s="10">
        <f t="shared" si="30"/>
        <v>18.599999999999998</v>
      </c>
      <c r="K326" s="9"/>
      <c r="L326" s="9"/>
      <c r="M326" s="9"/>
    </row>
    <row r="327" spans="1:13" hidden="1" x14ac:dyDescent="0.3">
      <c r="A327" s="5" t="s">
        <v>591</v>
      </c>
      <c r="B327" s="5" t="s">
        <v>565</v>
      </c>
      <c r="C327" s="5">
        <v>543</v>
      </c>
      <c r="D327" s="6">
        <v>736.38373976000003</v>
      </c>
      <c r="E327" s="7">
        <f t="shared" si="29"/>
        <v>399856.37068967998</v>
      </c>
      <c r="F327" s="5" t="s">
        <v>592</v>
      </c>
      <c r="G327" s="5" t="s">
        <v>9</v>
      </c>
      <c r="H327" s="6">
        <v>752</v>
      </c>
      <c r="I327" s="8">
        <f t="shared" si="33"/>
        <v>125.33333333333333</v>
      </c>
      <c r="J327" s="6">
        <f t="shared" si="30"/>
        <v>4.3324468085106389</v>
      </c>
      <c r="K327" s="5"/>
      <c r="L327" s="5"/>
      <c r="M327" s="5"/>
    </row>
    <row r="328" spans="1:13" hidden="1" x14ac:dyDescent="0.3">
      <c r="A328" s="5" t="s">
        <v>593</v>
      </c>
      <c r="B328" s="5" t="s">
        <v>565</v>
      </c>
      <c r="C328" s="5">
        <v>1</v>
      </c>
      <c r="D328" s="6">
        <v>2513.1568449400002</v>
      </c>
      <c r="E328" s="7">
        <f t="shared" si="29"/>
        <v>2513.1568449400002</v>
      </c>
      <c r="F328" s="5" t="s">
        <v>594</v>
      </c>
      <c r="G328" s="5" t="s">
        <v>9</v>
      </c>
      <c r="H328" s="6">
        <v>26</v>
      </c>
      <c r="I328" s="8">
        <f t="shared" si="33"/>
        <v>4.333333333333333</v>
      </c>
      <c r="J328" s="6">
        <f t="shared" si="30"/>
        <v>0.23076923076923078</v>
      </c>
      <c r="K328" s="5"/>
      <c r="L328" s="5"/>
      <c r="M328" s="5"/>
    </row>
    <row r="329" spans="1:13" hidden="1" x14ac:dyDescent="0.3">
      <c r="A329" s="5" t="s">
        <v>595</v>
      </c>
      <c r="B329" s="5" t="s">
        <v>565</v>
      </c>
      <c r="C329" s="5">
        <v>1</v>
      </c>
      <c r="D329" s="6">
        <v>1908.2399</v>
      </c>
      <c r="E329" s="7">
        <f t="shared" si="29"/>
        <v>1908.2399</v>
      </c>
      <c r="F329" s="5" t="s">
        <v>596</v>
      </c>
      <c r="G329" s="5" t="s">
        <v>9</v>
      </c>
      <c r="H329" s="6">
        <v>4</v>
      </c>
      <c r="I329" s="8">
        <f t="shared" si="33"/>
        <v>0.66666666666666663</v>
      </c>
      <c r="J329" s="6">
        <f t="shared" si="30"/>
        <v>1.5</v>
      </c>
      <c r="K329" s="5"/>
      <c r="L329" s="5"/>
      <c r="M329" s="5"/>
    </row>
    <row r="330" spans="1:13" hidden="1" x14ac:dyDescent="0.3">
      <c r="A330" s="5" t="s">
        <v>597</v>
      </c>
      <c r="B330" s="5" t="s">
        <v>565</v>
      </c>
      <c r="C330" s="5">
        <v>528</v>
      </c>
      <c r="D330" s="6">
        <v>1884.1620686199999</v>
      </c>
      <c r="E330" s="7">
        <f t="shared" si="29"/>
        <v>994837.5722313599</v>
      </c>
      <c r="F330" s="5" t="s">
        <v>598</v>
      </c>
      <c r="G330" s="5" t="s">
        <v>9</v>
      </c>
      <c r="H330" s="6">
        <v>730</v>
      </c>
      <c r="I330" s="8">
        <f t="shared" ref="I330:I358" si="34">+H330/6</f>
        <v>121.66666666666667</v>
      </c>
      <c r="J330" s="6">
        <f t="shared" si="30"/>
        <v>4.3397260273972602</v>
      </c>
      <c r="K330" s="5"/>
      <c r="L330" s="5"/>
      <c r="M330" s="5"/>
    </row>
    <row r="331" spans="1:13" hidden="1" x14ac:dyDescent="0.3">
      <c r="A331" s="5" t="s">
        <v>599</v>
      </c>
      <c r="B331" s="5" t="s">
        <v>565</v>
      </c>
      <c r="C331" s="5">
        <v>12</v>
      </c>
      <c r="D331" s="6">
        <v>2512.1152000000002</v>
      </c>
      <c r="E331" s="7">
        <f t="shared" si="29"/>
        <v>30145.382400000002</v>
      </c>
      <c r="F331" s="5" t="s">
        <v>600</v>
      </c>
      <c r="G331" s="5" t="s">
        <v>9</v>
      </c>
      <c r="H331" s="6">
        <v>13</v>
      </c>
      <c r="I331" s="8">
        <f t="shared" si="34"/>
        <v>2.1666666666666665</v>
      </c>
      <c r="J331" s="6">
        <f t="shared" si="30"/>
        <v>5.5384615384615392</v>
      </c>
      <c r="K331" s="5"/>
      <c r="L331" s="5"/>
      <c r="M331" s="5"/>
    </row>
    <row r="332" spans="1:13" hidden="1" x14ac:dyDescent="0.3">
      <c r="A332" s="9" t="s">
        <v>599</v>
      </c>
      <c r="B332" s="9" t="s">
        <v>565</v>
      </c>
      <c r="C332" s="9">
        <f>17-12</f>
        <v>5</v>
      </c>
      <c r="D332" s="10">
        <v>2512.1152000000002</v>
      </c>
      <c r="E332" s="11">
        <f t="shared" ref="E332" si="35">+C332*D332</f>
        <v>12560.576000000001</v>
      </c>
      <c r="F332" s="9" t="s">
        <v>600</v>
      </c>
      <c r="G332" s="9" t="s">
        <v>9</v>
      </c>
      <c r="H332" s="10">
        <v>13</v>
      </c>
      <c r="I332" s="12">
        <f t="shared" si="34"/>
        <v>2.1666666666666665</v>
      </c>
      <c r="J332" s="10">
        <f t="shared" ref="J332" si="36">+C332/I332</f>
        <v>2.3076923076923079</v>
      </c>
      <c r="K332" s="9"/>
      <c r="L332" s="9"/>
      <c r="M332" s="9"/>
    </row>
    <row r="333" spans="1:13" hidden="1" x14ac:dyDescent="0.3">
      <c r="A333" s="5" t="s">
        <v>601</v>
      </c>
      <c r="B333" s="5" t="s">
        <v>565</v>
      </c>
      <c r="C333" s="5">
        <v>260</v>
      </c>
      <c r="D333" s="6">
        <v>3660.31788456</v>
      </c>
      <c r="E333" s="7">
        <f t="shared" si="29"/>
        <v>951682.64998560003</v>
      </c>
      <c r="F333" s="5" t="s">
        <v>602</v>
      </c>
      <c r="G333" s="5" t="s">
        <v>9</v>
      </c>
      <c r="H333" s="6">
        <v>303</v>
      </c>
      <c r="I333" s="8">
        <f t="shared" si="34"/>
        <v>50.5</v>
      </c>
      <c r="J333" s="6">
        <f t="shared" si="30"/>
        <v>5.1485148514851486</v>
      </c>
      <c r="K333" s="5"/>
      <c r="L333" s="5"/>
      <c r="M333" s="5"/>
    </row>
    <row r="334" spans="1:13" hidden="1" x14ac:dyDescent="0.3">
      <c r="A334" s="9" t="s">
        <v>601</v>
      </c>
      <c r="B334" s="9" t="s">
        <v>565</v>
      </c>
      <c r="C334" s="9">
        <f>473-260</f>
        <v>213</v>
      </c>
      <c r="D334" s="10">
        <v>3660.31788456</v>
      </c>
      <c r="E334" s="11">
        <f t="shared" ref="E334" si="37">+C334*D334</f>
        <v>779647.70941128</v>
      </c>
      <c r="F334" s="9" t="s">
        <v>602</v>
      </c>
      <c r="G334" s="9" t="s">
        <v>9</v>
      </c>
      <c r="H334" s="10">
        <v>303</v>
      </c>
      <c r="I334" s="12">
        <f t="shared" si="34"/>
        <v>50.5</v>
      </c>
      <c r="J334" s="10">
        <f t="shared" ref="J334" si="38">+C334/I334</f>
        <v>4.217821782178218</v>
      </c>
      <c r="K334" s="9"/>
      <c r="L334" s="9"/>
      <c r="M334" s="9"/>
    </row>
    <row r="335" spans="1:13" hidden="1" x14ac:dyDescent="0.3">
      <c r="A335" s="5" t="s">
        <v>603</v>
      </c>
      <c r="B335" s="5" t="s">
        <v>565</v>
      </c>
      <c r="C335" s="5">
        <v>10</v>
      </c>
      <c r="D335" s="6">
        <v>858.85537681999995</v>
      </c>
      <c r="E335" s="7">
        <f t="shared" si="29"/>
        <v>8588.5537681999995</v>
      </c>
      <c r="F335" s="5" t="s">
        <v>604</v>
      </c>
      <c r="G335" s="5" t="s">
        <v>9</v>
      </c>
      <c r="H335" s="6">
        <v>11</v>
      </c>
      <c r="I335" s="8">
        <f t="shared" si="34"/>
        <v>1.8333333333333333</v>
      </c>
      <c r="J335" s="6">
        <f t="shared" si="30"/>
        <v>5.454545454545455</v>
      </c>
      <c r="K335" s="5"/>
      <c r="L335" s="5"/>
      <c r="M335" s="5"/>
    </row>
    <row r="336" spans="1:13" hidden="1" x14ac:dyDescent="0.3">
      <c r="A336" s="9" t="s">
        <v>603</v>
      </c>
      <c r="B336" s="9" t="s">
        <v>565</v>
      </c>
      <c r="C336" s="9">
        <f>59-10</f>
        <v>49</v>
      </c>
      <c r="D336" s="10">
        <v>858.85537681999995</v>
      </c>
      <c r="E336" s="11">
        <f t="shared" si="29"/>
        <v>42083.913464179997</v>
      </c>
      <c r="F336" s="9" t="s">
        <v>604</v>
      </c>
      <c r="G336" s="9" t="s">
        <v>9</v>
      </c>
      <c r="H336" s="10">
        <v>11</v>
      </c>
      <c r="I336" s="12">
        <f t="shared" si="34"/>
        <v>1.8333333333333333</v>
      </c>
      <c r="J336" s="10">
        <f t="shared" si="30"/>
        <v>26.727272727272727</v>
      </c>
      <c r="K336" s="9"/>
      <c r="L336" s="9"/>
      <c r="M336" s="9"/>
    </row>
    <row r="337" spans="1:13" hidden="1" x14ac:dyDescent="0.3">
      <c r="A337" s="5" t="s">
        <v>605</v>
      </c>
      <c r="B337" s="5" t="s">
        <v>565</v>
      </c>
      <c r="C337" s="5">
        <v>36</v>
      </c>
      <c r="D337" s="6">
        <v>1011.609</v>
      </c>
      <c r="E337" s="7">
        <f t="shared" si="29"/>
        <v>36417.923999999999</v>
      </c>
      <c r="F337" s="5" t="s">
        <v>606</v>
      </c>
      <c r="G337" s="5" t="s">
        <v>9</v>
      </c>
      <c r="H337" s="6">
        <v>205</v>
      </c>
      <c r="I337" s="8">
        <f t="shared" si="34"/>
        <v>34.166666666666664</v>
      </c>
      <c r="J337" s="6">
        <f t="shared" si="30"/>
        <v>1.0536585365853659</v>
      </c>
      <c r="K337" s="5"/>
      <c r="L337" s="5"/>
      <c r="M337" s="5"/>
    </row>
    <row r="338" spans="1:13" hidden="1" x14ac:dyDescent="0.3">
      <c r="A338" s="5" t="s">
        <v>607</v>
      </c>
      <c r="B338" s="5" t="s">
        <v>565</v>
      </c>
      <c r="C338" s="5">
        <v>66</v>
      </c>
      <c r="D338" s="6">
        <v>1550.3323024199999</v>
      </c>
      <c r="E338" s="7">
        <f t="shared" si="29"/>
        <v>102321.93195971999</v>
      </c>
      <c r="F338" s="5" t="s">
        <v>608</v>
      </c>
      <c r="G338" s="5" t="s">
        <v>9</v>
      </c>
      <c r="H338" s="6">
        <v>408</v>
      </c>
      <c r="I338" s="8">
        <f t="shared" si="34"/>
        <v>68</v>
      </c>
      <c r="J338" s="6">
        <f t="shared" si="30"/>
        <v>0.97058823529411764</v>
      </c>
      <c r="K338" s="5"/>
      <c r="L338" s="5"/>
      <c r="M338" s="5"/>
    </row>
    <row r="339" spans="1:13" hidden="1" x14ac:dyDescent="0.3">
      <c r="A339" s="9" t="s">
        <v>609</v>
      </c>
      <c r="B339" s="9" t="s">
        <v>565</v>
      </c>
      <c r="C339" s="9">
        <v>3</v>
      </c>
      <c r="D339" s="10">
        <v>116.3793</v>
      </c>
      <c r="E339" s="11">
        <f t="shared" si="29"/>
        <v>349.1379</v>
      </c>
      <c r="F339" s="9" t="s">
        <v>610</v>
      </c>
      <c r="G339" s="9" t="s">
        <v>9</v>
      </c>
      <c r="H339" s="10">
        <v>2</v>
      </c>
      <c r="I339" s="12">
        <f t="shared" si="34"/>
        <v>0.33333333333333331</v>
      </c>
      <c r="J339" s="10">
        <f t="shared" si="30"/>
        <v>9</v>
      </c>
      <c r="K339" s="9"/>
      <c r="L339" s="9"/>
      <c r="M339" s="9"/>
    </row>
    <row r="340" spans="1:13" hidden="1" x14ac:dyDescent="0.3">
      <c r="A340" s="13" t="s">
        <v>611</v>
      </c>
      <c r="B340" s="13" t="s">
        <v>565</v>
      </c>
      <c r="C340" s="13">
        <v>2</v>
      </c>
      <c r="D340" s="14">
        <v>338.76819999999998</v>
      </c>
      <c r="E340" s="15">
        <f t="shared" si="29"/>
        <v>677.53639999999996</v>
      </c>
      <c r="F340" s="13" t="s">
        <v>612</v>
      </c>
      <c r="G340" s="13" t="s">
        <v>9</v>
      </c>
      <c r="H340" s="14">
        <v>0</v>
      </c>
      <c r="I340" s="16">
        <f t="shared" si="34"/>
        <v>0</v>
      </c>
      <c r="J340" s="14" t="e">
        <f t="shared" si="30"/>
        <v>#DIV/0!</v>
      </c>
      <c r="K340" s="13"/>
      <c r="L340" s="13"/>
      <c r="M340" s="13"/>
    </row>
    <row r="341" spans="1:13" hidden="1" x14ac:dyDescent="0.3">
      <c r="A341" s="13" t="s">
        <v>613</v>
      </c>
      <c r="B341" s="13" t="s">
        <v>565</v>
      </c>
      <c r="C341" s="13">
        <v>3</v>
      </c>
      <c r="D341" s="14">
        <v>891.03530000000001</v>
      </c>
      <c r="E341" s="15">
        <f t="shared" si="29"/>
        <v>2673.1059</v>
      </c>
      <c r="F341" s="13" t="s">
        <v>614</v>
      </c>
      <c r="G341" s="13" t="s">
        <v>9</v>
      </c>
      <c r="H341" s="14">
        <v>0</v>
      </c>
      <c r="I341" s="16">
        <f t="shared" si="34"/>
        <v>0</v>
      </c>
      <c r="J341" s="14" t="e">
        <f t="shared" si="30"/>
        <v>#DIV/0!</v>
      </c>
      <c r="K341" s="13"/>
      <c r="L341" s="13"/>
      <c r="M341" s="13"/>
    </row>
    <row r="342" spans="1:13" hidden="1" x14ac:dyDescent="0.3">
      <c r="A342" s="5" t="s">
        <v>615</v>
      </c>
      <c r="B342" s="5" t="s">
        <v>565</v>
      </c>
      <c r="C342" s="5">
        <v>69</v>
      </c>
      <c r="D342" s="6">
        <v>128.08090000000001</v>
      </c>
      <c r="E342" s="7">
        <f t="shared" si="29"/>
        <v>8837.5821000000014</v>
      </c>
      <c r="F342" s="5" t="s">
        <v>616</v>
      </c>
      <c r="G342" s="5" t="s">
        <v>9</v>
      </c>
      <c r="H342" s="6">
        <v>3</v>
      </c>
      <c r="I342" s="8">
        <f t="shared" si="34"/>
        <v>0.5</v>
      </c>
      <c r="J342" s="6">
        <f t="shared" si="30"/>
        <v>138</v>
      </c>
      <c r="K342" s="5"/>
      <c r="L342" s="5"/>
      <c r="M342" s="5"/>
    </row>
    <row r="343" spans="1:13" hidden="1" x14ac:dyDescent="0.3">
      <c r="A343" s="5" t="s">
        <v>617</v>
      </c>
      <c r="B343" s="5" t="s">
        <v>565</v>
      </c>
      <c r="C343" s="5">
        <v>0</v>
      </c>
      <c r="D343" s="6">
        <v>0</v>
      </c>
      <c r="E343" s="7">
        <f t="shared" si="29"/>
        <v>0</v>
      </c>
      <c r="F343" s="5" t="s">
        <v>618</v>
      </c>
      <c r="G343" s="5" t="s">
        <v>9</v>
      </c>
      <c r="H343" s="6">
        <v>16</v>
      </c>
      <c r="I343" s="8">
        <f t="shared" si="34"/>
        <v>2.6666666666666665</v>
      </c>
      <c r="J343" s="6">
        <f t="shared" si="30"/>
        <v>0</v>
      </c>
      <c r="K343" s="5"/>
      <c r="L343" s="5"/>
      <c r="M343" s="5"/>
    </row>
    <row r="344" spans="1:13" hidden="1" x14ac:dyDescent="0.3">
      <c r="A344" s="5" t="s">
        <v>619</v>
      </c>
      <c r="B344" s="5" t="s">
        <v>620</v>
      </c>
      <c r="C344" s="5">
        <v>10</v>
      </c>
      <c r="D344" s="6">
        <v>49.136785709999998</v>
      </c>
      <c r="E344" s="7">
        <f t="shared" si="29"/>
        <v>491.36785709999998</v>
      </c>
      <c r="F344" s="5" t="s">
        <v>621</v>
      </c>
      <c r="G344" s="5" t="s">
        <v>9</v>
      </c>
      <c r="H344" s="6">
        <v>26</v>
      </c>
      <c r="I344" s="8">
        <f t="shared" si="34"/>
        <v>4.333333333333333</v>
      </c>
      <c r="J344" s="6">
        <f t="shared" si="30"/>
        <v>2.3076923076923079</v>
      </c>
      <c r="K344" s="5"/>
      <c r="L344" s="5"/>
      <c r="M344" s="5"/>
    </row>
    <row r="345" spans="1:13" hidden="1" x14ac:dyDescent="0.3">
      <c r="A345" s="5" t="s">
        <v>622</v>
      </c>
      <c r="B345" s="5" t="s">
        <v>623</v>
      </c>
      <c r="C345" s="5">
        <v>9</v>
      </c>
      <c r="D345" s="6">
        <v>3588.8993</v>
      </c>
      <c r="E345" s="7">
        <f t="shared" si="29"/>
        <v>32300.093700000001</v>
      </c>
      <c r="F345" s="5" t="s">
        <v>624</v>
      </c>
      <c r="G345" s="5" t="s">
        <v>9</v>
      </c>
      <c r="H345" s="6">
        <v>10</v>
      </c>
      <c r="I345" s="8">
        <f t="shared" si="34"/>
        <v>1.6666666666666667</v>
      </c>
      <c r="J345" s="6">
        <f t="shared" si="30"/>
        <v>5.3999999999999995</v>
      </c>
      <c r="K345" s="5"/>
      <c r="L345" s="18">
        <v>45972</v>
      </c>
      <c r="M345" s="5" t="s">
        <v>685</v>
      </c>
    </row>
    <row r="346" spans="1:13" hidden="1" x14ac:dyDescent="0.3">
      <c r="A346" s="5" t="s">
        <v>625</v>
      </c>
      <c r="B346" s="5" t="s">
        <v>623</v>
      </c>
      <c r="C346" s="5">
        <v>6</v>
      </c>
      <c r="D346" s="6">
        <v>4714.1576750000004</v>
      </c>
      <c r="E346" s="7">
        <f t="shared" si="29"/>
        <v>28284.946050000002</v>
      </c>
      <c r="F346" s="5" t="s">
        <v>626</v>
      </c>
      <c r="G346" s="5" t="s">
        <v>9</v>
      </c>
      <c r="H346" s="6">
        <v>18</v>
      </c>
      <c r="I346" s="8">
        <f t="shared" si="34"/>
        <v>3</v>
      </c>
      <c r="J346" s="6">
        <f t="shared" si="30"/>
        <v>2</v>
      </c>
      <c r="K346" s="5"/>
      <c r="L346" s="5"/>
      <c r="M346" s="5"/>
    </row>
    <row r="347" spans="1:13" hidden="1" x14ac:dyDescent="0.3">
      <c r="A347" s="5" t="s">
        <v>627</v>
      </c>
      <c r="B347" s="5" t="s">
        <v>623</v>
      </c>
      <c r="C347" s="5">
        <v>3</v>
      </c>
      <c r="D347" s="6">
        <v>5116.4624999999996</v>
      </c>
      <c r="E347" s="7">
        <f t="shared" si="29"/>
        <v>15349.387499999999</v>
      </c>
      <c r="F347" s="5" t="s">
        <v>628</v>
      </c>
      <c r="G347" s="5" t="s">
        <v>9</v>
      </c>
      <c r="H347" s="6">
        <v>21</v>
      </c>
      <c r="I347" s="8">
        <f t="shared" si="34"/>
        <v>3.5</v>
      </c>
      <c r="J347" s="6">
        <f t="shared" si="30"/>
        <v>0.8571428571428571</v>
      </c>
      <c r="K347" s="5"/>
      <c r="L347" s="5"/>
      <c r="M347" s="5"/>
    </row>
    <row r="348" spans="1:13" hidden="1" x14ac:dyDescent="0.3">
      <c r="A348" s="5" t="s">
        <v>629</v>
      </c>
      <c r="B348" s="5" t="s">
        <v>623</v>
      </c>
      <c r="C348" s="5">
        <v>19</v>
      </c>
      <c r="D348" s="6">
        <v>5086.8987578899996</v>
      </c>
      <c r="E348" s="7">
        <f t="shared" si="29"/>
        <v>96651.076399909987</v>
      </c>
      <c r="F348" s="5" t="s">
        <v>630</v>
      </c>
      <c r="G348" s="5" t="s">
        <v>9</v>
      </c>
      <c r="H348" s="6">
        <v>45</v>
      </c>
      <c r="I348" s="8">
        <f t="shared" si="34"/>
        <v>7.5</v>
      </c>
      <c r="J348" s="6">
        <f t="shared" si="30"/>
        <v>2.5333333333333332</v>
      </c>
      <c r="K348" s="5"/>
      <c r="L348" s="5"/>
      <c r="M348" s="5"/>
    </row>
    <row r="349" spans="1:13" hidden="1" x14ac:dyDescent="0.3">
      <c r="A349" s="5" t="s">
        <v>631</v>
      </c>
      <c r="B349" s="5" t="s">
        <v>623</v>
      </c>
      <c r="C349" s="5">
        <v>4</v>
      </c>
      <c r="D349" s="6">
        <v>5605.4069</v>
      </c>
      <c r="E349" s="7">
        <f t="shared" ref="E349:E365" si="39">+C349*D349</f>
        <v>22421.6276</v>
      </c>
      <c r="F349" s="5" t="s">
        <v>632</v>
      </c>
      <c r="G349" s="5" t="s">
        <v>9</v>
      </c>
      <c r="H349" s="6">
        <v>103</v>
      </c>
      <c r="I349" s="8">
        <f t="shared" si="34"/>
        <v>17.166666666666668</v>
      </c>
      <c r="J349" s="6">
        <f t="shared" ref="J349:J365" si="40">+C349/I349</f>
        <v>0.23300970873786406</v>
      </c>
      <c r="K349" s="5"/>
      <c r="L349" s="5"/>
      <c r="M349" s="5"/>
    </row>
    <row r="350" spans="1:13" hidden="1" x14ac:dyDescent="0.3">
      <c r="A350" s="5" t="s">
        <v>633</v>
      </c>
      <c r="B350" s="5" t="s">
        <v>623</v>
      </c>
      <c r="C350" s="5">
        <v>189</v>
      </c>
      <c r="D350" s="6">
        <v>2812.8449999999998</v>
      </c>
      <c r="E350" s="7">
        <f t="shared" si="39"/>
        <v>531627.70499999996</v>
      </c>
      <c r="F350" s="5" t="s">
        <v>634</v>
      </c>
      <c r="G350" s="5" t="s">
        <v>9</v>
      </c>
      <c r="H350" s="6">
        <v>429</v>
      </c>
      <c r="I350" s="8">
        <f t="shared" si="34"/>
        <v>71.5</v>
      </c>
      <c r="J350" s="6">
        <f t="shared" si="40"/>
        <v>2.6433566433566433</v>
      </c>
      <c r="K350" s="5"/>
      <c r="L350" s="5"/>
      <c r="M350" s="5"/>
    </row>
    <row r="351" spans="1:13" hidden="1" x14ac:dyDescent="0.3">
      <c r="A351" s="5" t="s">
        <v>635</v>
      </c>
      <c r="B351" s="5" t="s">
        <v>623</v>
      </c>
      <c r="C351" s="5">
        <v>22</v>
      </c>
      <c r="D351" s="6">
        <v>4323.5532999999996</v>
      </c>
      <c r="E351" s="7">
        <f t="shared" si="39"/>
        <v>95118.172599999991</v>
      </c>
      <c r="F351" s="5" t="s">
        <v>636</v>
      </c>
      <c r="G351" s="5" t="s">
        <v>9</v>
      </c>
      <c r="H351" s="6">
        <v>116</v>
      </c>
      <c r="I351" s="8">
        <f t="shared" si="34"/>
        <v>19.333333333333332</v>
      </c>
      <c r="J351" s="6">
        <f t="shared" si="40"/>
        <v>1.1379310344827587</v>
      </c>
      <c r="K351" s="5"/>
      <c r="L351" s="5"/>
      <c r="M351" s="5"/>
    </row>
    <row r="352" spans="1:13" hidden="1" x14ac:dyDescent="0.3">
      <c r="A352" s="5" t="s">
        <v>637</v>
      </c>
      <c r="B352" s="5" t="s">
        <v>623</v>
      </c>
      <c r="C352" s="5">
        <v>308</v>
      </c>
      <c r="D352" s="6">
        <v>2982.7827911499999</v>
      </c>
      <c r="E352" s="7">
        <f t="shared" si="39"/>
        <v>918697.09967419994</v>
      </c>
      <c r="F352" s="5" t="s">
        <v>638</v>
      </c>
      <c r="G352" s="5" t="s">
        <v>9</v>
      </c>
      <c r="H352" s="6">
        <v>643</v>
      </c>
      <c r="I352" s="8">
        <f t="shared" si="34"/>
        <v>107.16666666666667</v>
      </c>
      <c r="J352" s="6">
        <f t="shared" si="40"/>
        <v>2.8740279937791602</v>
      </c>
      <c r="K352" s="5"/>
      <c r="L352" s="5"/>
      <c r="M352" s="5"/>
    </row>
    <row r="353" spans="1:13" hidden="1" x14ac:dyDescent="0.3">
      <c r="A353" s="5" t="s">
        <v>639</v>
      </c>
      <c r="B353" s="5" t="s">
        <v>640</v>
      </c>
      <c r="C353" s="5">
        <v>24</v>
      </c>
      <c r="D353" s="6">
        <v>65.519387760000001</v>
      </c>
      <c r="E353" s="7">
        <f t="shared" si="39"/>
        <v>1572.46530624</v>
      </c>
      <c r="F353" s="5" t="s">
        <v>641</v>
      </c>
      <c r="G353" s="5" t="s">
        <v>9</v>
      </c>
      <c r="H353" s="6">
        <v>52</v>
      </c>
      <c r="I353" s="8">
        <f t="shared" si="34"/>
        <v>8.6666666666666661</v>
      </c>
      <c r="J353" s="6">
        <f t="shared" si="40"/>
        <v>2.7692307692307696</v>
      </c>
      <c r="K353" s="5"/>
      <c r="L353" s="5"/>
      <c r="M353" s="5"/>
    </row>
    <row r="354" spans="1:13" hidden="1" x14ac:dyDescent="0.3">
      <c r="A354" s="5" t="s">
        <v>642</v>
      </c>
      <c r="B354" s="5" t="s">
        <v>640</v>
      </c>
      <c r="C354" s="5">
        <v>50</v>
      </c>
      <c r="D354" s="6">
        <v>55.17</v>
      </c>
      <c r="E354" s="7">
        <f t="shared" si="39"/>
        <v>2758.5</v>
      </c>
      <c r="F354" s="5" t="s">
        <v>643</v>
      </c>
      <c r="G354" s="5" t="s">
        <v>9</v>
      </c>
      <c r="H354" s="6">
        <v>91</v>
      </c>
      <c r="I354" s="8">
        <f t="shared" si="34"/>
        <v>15.166666666666666</v>
      </c>
      <c r="J354" s="6">
        <f t="shared" si="40"/>
        <v>3.296703296703297</v>
      </c>
      <c r="K354" s="5"/>
      <c r="L354" s="5"/>
      <c r="M354" s="5"/>
    </row>
    <row r="355" spans="1:13" hidden="1" x14ac:dyDescent="0.3">
      <c r="A355" s="5" t="s">
        <v>644</v>
      </c>
      <c r="B355" s="5" t="s">
        <v>640</v>
      </c>
      <c r="C355" s="5">
        <v>41</v>
      </c>
      <c r="D355" s="6">
        <v>55.170000010000003</v>
      </c>
      <c r="E355" s="7">
        <f t="shared" si="39"/>
        <v>2261.97000041</v>
      </c>
      <c r="F355" s="5" t="s">
        <v>645</v>
      </c>
      <c r="G355" s="5" t="s">
        <v>9</v>
      </c>
      <c r="H355" s="6">
        <v>82</v>
      </c>
      <c r="I355" s="8">
        <f t="shared" si="34"/>
        <v>13.666666666666666</v>
      </c>
      <c r="J355" s="6">
        <f t="shared" si="40"/>
        <v>3</v>
      </c>
      <c r="K355" s="5"/>
      <c r="L355" s="5"/>
      <c r="M355" s="5"/>
    </row>
    <row r="356" spans="1:13" hidden="1" x14ac:dyDescent="0.3">
      <c r="A356" s="5" t="s">
        <v>646</v>
      </c>
      <c r="B356" s="5" t="s">
        <v>640</v>
      </c>
      <c r="C356" s="5">
        <v>22</v>
      </c>
      <c r="D356" s="6">
        <v>65.52</v>
      </c>
      <c r="E356" s="7">
        <f t="shared" si="39"/>
        <v>1441.4399999999998</v>
      </c>
      <c r="F356" s="5" t="s">
        <v>647</v>
      </c>
      <c r="G356" s="5" t="s">
        <v>9</v>
      </c>
      <c r="H356" s="6">
        <v>38</v>
      </c>
      <c r="I356" s="8">
        <f t="shared" si="34"/>
        <v>6.333333333333333</v>
      </c>
      <c r="J356" s="6">
        <f t="shared" si="40"/>
        <v>3.4736842105263159</v>
      </c>
      <c r="K356" s="5"/>
      <c r="L356" s="5"/>
      <c r="M356" s="5"/>
    </row>
    <row r="357" spans="1:13" hidden="1" x14ac:dyDescent="0.3">
      <c r="A357" s="5" t="s">
        <v>648</v>
      </c>
      <c r="B357" s="5" t="s">
        <v>640</v>
      </c>
      <c r="C357" s="5">
        <v>25</v>
      </c>
      <c r="D357" s="6">
        <v>65.510000000000005</v>
      </c>
      <c r="E357" s="7">
        <f t="shared" si="39"/>
        <v>1637.7500000000002</v>
      </c>
      <c r="F357" s="5" t="s">
        <v>649</v>
      </c>
      <c r="G357" s="5" t="s">
        <v>9</v>
      </c>
      <c r="H357" s="6">
        <v>140</v>
      </c>
      <c r="I357" s="8">
        <f t="shared" si="34"/>
        <v>23.333333333333332</v>
      </c>
      <c r="J357" s="6">
        <f t="shared" si="40"/>
        <v>1.0714285714285714</v>
      </c>
      <c r="K357" s="5"/>
      <c r="L357" s="5"/>
      <c r="M357" s="5"/>
    </row>
    <row r="358" spans="1:13" hidden="1" x14ac:dyDescent="0.3">
      <c r="A358" s="5" t="s">
        <v>650</v>
      </c>
      <c r="B358" s="5" t="s">
        <v>640</v>
      </c>
      <c r="C358" s="5">
        <v>41</v>
      </c>
      <c r="D358" s="6">
        <v>23.240352290000001</v>
      </c>
      <c r="E358" s="7">
        <f t="shared" si="39"/>
        <v>952.85444388999997</v>
      </c>
      <c r="F358" s="5" t="s">
        <v>651</v>
      </c>
      <c r="G358" s="5" t="s">
        <v>9</v>
      </c>
      <c r="H358" s="6">
        <v>221</v>
      </c>
      <c r="I358" s="8">
        <f t="shared" si="34"/>
        <v>36.833333333333336</v>
      </c>
      <c r="J358" s="6">
        <f t="shared" si="40"/>
        <v>1.1131221719457012</v>
      </c>
      <c r="K358" s="5"/>
      <c r="L358" s="5"/>
      <c r="M358" s="5"/>
    </row>
    <row r="359" spans="1:13" hidden="1" x14ac:dyDescent="0.3">
      <c r="A359" s="5" t="s">
        <v>652</v>
      </c>
      <c r="B359" s="5" t="s">
        <v>640</v>
      </c>
      <c r="C359" s="5">
        <v>16</v>
      </c>
      <c r="D359" s="6">
        <v>13.72363636</v>
      </c>
      <c r="E359" s="7">
        <f t="shared" si="39"/>
        <v>219.57818176000001</v>
      </c>
      <c r="F359" s="5" t="s">
        <v>653</v>
      </c>
      <c r="G359" s="5" t="s">
        <v>9</v>
      </c>
      <c r="H359" s="6">
        <v>20</v>
      </c>
      <c r="I359" s="8">
        <f>+H359/5</f>
        <v>4</v>
      </c>
      <c r="J359" s="6">
        <f t="shared" si="40"/>
        <v>4</v>
      </c>
      <c r="K359" s="5"/>
      <c r="L359" s="5"/>
      <c r="M359" s="5"/>
    </row>
    <row r="360" spans="1:13" hidden="1" x14ac:dyDescent="0.3">
      <c r="A360" s="5" t="s">
        <v>654</v>
      </c>
      <c r="B360" s="5" t="s">
        <v>640</v>
      </c>
      <c r="C360" s="5">
        <v>41</v>
      </c>
      <c r="D360" s="6">
        <v>23.268567310000002</v>
      </c>
      <c r="E360" s="7">
        <f t="shared" si="39"/>
        <v>954.0112597100001</v>
      </c>
      <c r="F360" s="5" t="s">
        <v>655</v>
      </c>
      <c r="G360" s="5" t="s">
        <v>9</v>
      </c>
      <c r="H360" s="6">
        <v>285</v>
      </c>
      <c r="I360" s="8">
        <f t="shared" ref="I360:I365" si="41">+H360/6</f>
        <v>47.5</v>
      </c>
      <c r="J360" s="6">
        <f t="shared" si="40"/>
        <v>0.86315789473684212</v>
      </c>
      <c r="K360" s="5"/>
      <c r="L360" s="5"/>
      <c r="M360" s="5"/>
    </row>
    <row r="361" spans="1:13" hidden="1" x14ac:dyDescent="0.3">
      <c r="A361" s="5" t="s">
        <v>656</v>
      </c>
      <c r="B361" s="5" t="s">
        <v>640</v>
      </c>
      <c r="C361" s="5">
        <v>16</v>
      </c>
      <c r="D361" s="6">
        <v>14.23776398</v>
      </c>
      <c r="E361" s="7">
        <f t="shared" si="39"/>
        <v>227.80422368000001</v>
      </c>
      <c r="F361" s="5" t="s">
        <v>657</v>
      </c>
      <c r="G361" s="5" t="s">
        <v>9</v>
      </c>
      <c r="H361" s="6">
        <v>32</v>
      </c>
      <c r="I361" s="8">
        <f t="shared" si="41"/>
        <v>5.333333333333333</v>
      </c>
      <c r="J361" s="6">
        <f t="shared" si="40"/>
        <v>3</v>
      </c>
      <c r="K361" s="5"/>
      <c r="L361" s="5"/>
      <c r="M361" s="5"/>
    </row>
    <row r="362" spans="1:13" hidden="1" x14ac:dyDescent="0.3">
      <c r="A362" s="5" t="s">
        <v>658</v>
      </c>
      <c r="B362" s="5" t="s">
        <v>640</v>
      </c>
      <c r="C362" s="5">
        <v>5</v>
      </c>
      <c r="D362" s="6">
        <v>68.103800000000007</v>
      </c>
      <c r="E362" s="7">
        <f t="shared" si="39"/>
        <v>340.51900000000001</v>
      </c>
      <c r="F362" s="5" t="s">
        <v>659</v>
      </c>
      <c r="G362" s="5" t="s">
        <v>9</v>
      </c>
      <c r="H362" s="6">
        <v>5</v>
      </c>
      <c r="I362" s="8">
        <f t="shared" si="41"/>
        <v>0.83333333333333337</v>
      </c>
      <c r="J362" s="6">
        <f t="shared" si="40"/>
        <v>6</v>
      </c>
      <c r="K362" s="5"/>
      <c r="L362" s="5"/>
      <c r="M362" s="5"/>
    </row>
    <row r="363" spans="1:13" hidden="1" x14ac:dyDescent="0.3">
      <c r="A363" s="5" t="s">
        <v>660</v>
      </c>
      <c r="B363" s="5" t="s">
        <v>640</v>
      </c>
      <c r="C363" s="5">
        <v>2</v>
      </c>
      <c r="D363" s="6">
        <v>27.268181819999999</v>
      </c>
      <c r="E363" s="7">
        <f t="shared" si="39"/>
        <v>54.536363639999998</v>
      </c>
      <c r="F363" s="5" t="s">
        <v>661</v>
      </c>
      <c r="G363" s="5" t="s">
        <v>9</v>
      </c>
      <c r="H363" s="6">
        <v>12</v>
      </c>
      <c r="I363" s="8">
        <f t="shared" si="41"/>
        <v>2</v>
      </c>
      <c r="J363" s="6">
        <f t="shared" si="40"/>
        <v>1</v>
      </c>
      <c r="K363" s="5"/>
      <c r="L363" s="5"/>
      <c r="M363" s="5"/>
    </row>
    <row r="364" spans="1:13" hidden="1" x14ac:dyDescent="0.3">
      <c r="A364" s="5" t="s">
        <v>662</v>
      </c>
      <c r="B364" s="5" t="s">
        <v>640</v>
      </c>
      <c r="C364" s="5">
        <v>2</v>
      </c>
      <c r="D364" s="6">
        <v>113.57739583</v>
      </c>
      <c r="E364" s="7">
        <f t="shared" si="39"/>
        <v>227.15479166</v>
      </c>
      <c r="F364" s="5" t="s">
        <v>663</v>
      </c>
      <c r="G364" s="5" t="s">
        <v>9</v>
      </c>
      <c r="H364" s="6">
        <v>5</v>
      </c>
      <c r="I364" s="8">
        <f t="shared" si="41"/>
        <v>0.83333333333333337</v>
      </c>
      <c r="J364" s="6">
        <f t="shared" si="40"/>
        <v>2.4</v>
      </c>
      <c r="K364" s="5"/>
      <c r="L364" s="5"/>
      <c r="M364" s="5"/>
    </row>
    <row r="365" spans="1:13" hidden="1" x14ac:dyDescent="0.3">
      <c r="A365" s="9" t="s">
        <v>664</v>
      </c>
      <c r="B365" s="9" t="s">
        <v>640</v>
      </c>
      <c r="C365" s="9">
        <v>5</v>
      </c>
      <c r="D365" s="10">
        <v>172.41399999999999</v>
      </c>
      <c r="E365" s="11">
        <f t="shared" si="39"/>
        <v>862.06999999999994</v>
      </c>
      <c r="F365" s="9" t="s">
        <v>665</v>
      </c>
      <c r="G365" s="9" t="s">
        <v>9</v>
      </c>
      <c r="H365" s="10">
        <v>0</v>
      </c>
      <c r="I365" s="12">
        <f t="shared" si="41"/>
        <v>0</v>
      </c>
      <c r="J365" s="10" t="e">
        <f t="shared" si="40"/>
        <v>#DIV/0!</v>
      </c>
      <c r="K365" s="9"/>
      <c r="L365" s="17">
        <v>46036</v>
      </c>
      <c r="M365" s="9" t="s">
        <v>686</v>
      </c>
    </row>
    <row r="366" spans="1:13" hidden="1" x14ac:dyDescent="0.3">
      <c r="D366" s="4"/>
      <c r="E366" s="19">
        <f>SUM(E2:E365)</f>
        <v>45069503.995386727</v>
      </c>
    </row>
    <row r="367" spans="1:13" x14ac:dyDescent="0.3">
      <c r="D367" s="4"/>
    </row>
    <row r="368" spans="1:13" x14ac:dyDescent="0.3">
      <c r="D368" s="6"/>
      <c r="E368" s="3">
        <v>39616635</v>
      </c>
      <c r="F368" s="23">
        <f>+E368/E366</f>
        <v>0.87901200341710262</v>
      </c>
    </row>
    <row r="369" spans="4:6" x14ac:dyDescent="0.3">
      <c r="D369" s="10"/>
      <c r="E369" s="3">
        <v>4806491</v>
      </c>
      <c r="F369" s="23">
        <f>+E369/E366</f>
        <v>0.10664619252281959</v>
      </c>
    </row>
    <row r="370" spans="4:6" x14ac:dyDescent="0.3">
      <c r="D370" s="13"/>
      <c r="E370" s="3">
        <v>646379</v>
      </c>
      <c r="F370" s="23">
        <f>+E370/E366</f>
        <v>1.4341826350389008E-2</v>
      </c>
    </row>
    <row r="377" spans="4:6" x14ac:dyDescent="0.3">
      <c r="E377" s="20"/>
    </row>
    <row r="381" spans="4:6" x14ac:dyDescent="0.3">
      <c r="E381" s="21"/>
    </row>
  </sheetData>
  <autoFilter ref="A1:M366" xr:uid="{27B87EB5-B17A-487F-8E66-01F05D878096}">
    <filterColumn colId="0">
      <filters>
        <filter val="DUR- DEVL48-105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7D78-4CE6-42E5-B526-ADDFCC980323}">
  <dimension ref="A1:AM133"/>
  <sheetViews>
    <sheetView tabSelected="1" zoomScaleNormal="100" workbookViewId="0">
      <pane xSplit="6" ySplit="1" topLeftCell="G120" activePane="bottomRight" state="frozen"/>
      <selection pane="topRight" activeCell="G1" sqref="G1"/>
      <selection pane="bottomLeft" activeCell="A2" sqref="A2"/>
      <selection pane="bottomRight" activeCell="F139" sqref="F139"/>
    </sheetView>
  </sheetViews>
  <sheetFormatPr baseColWidth="10" defaultRowHeight="14.4" x14ac:dyDescent="0.3"/>
  <cols>
    <col min="1" max="1" width="22" bestFit="1" customWidth="1"/>
    <col min="2" max="2" width="12.88671875" customWidth="1"/>
    <col min="3" max="4" width="8.88671875" customWidth="1"/>
    <col min="6" max="6" width="13.109375" bestFit="1" customWidth="1"/>
    <col min="7" max="7" width="16.5546875" customWidth="1"/>
    <col min="8" max="8" width="13" customWidth="1"/>
    <col min="9" max="9" width="11.6640625" hidden="1" customWidth="1"/>
    <col min="10" max="10" width="8.21875" hidden="1" customWidth="1"/>
    <col min="11" max="11" width="8.77734375" hidden="1" customWidth="1"/>
    <col min="12" max="12" width="7.77734375" hidden="1" customWidth="1"/>
    <col min="13" max="13" width="10.77734375" hidden="1" customWidth="1"/>
    <col min="14" max="14" width="6.109375" hidden="1" customWidth="1"/>
    <col min="15" max="16" width="0" hidden="1" customWidth="1"/>
    <col min="17" max="17" width="8" hidden="1" customWidth="1"/>
    <col min="18" max="18" width="7.6640625" hidden="1" customWidth="1"/>
    <col min="19" max="19" width="8" customWidth="1"/>
    <col min="20" max="24" width="12.21875" customWidth="1"/>
  </cols>
  <sheetData>
    <row r="1" spans="1:39" ht="53.4" x14ac:dyDescent="0.3">
      <c r="A1" t="s">
        <v>0</v>
      </c>
      <c r="B1" t="s">
        <v>1</v>
      </c>
      <c r="C1" t="s">
        <v>2</v>
      </c>
      <c r="D1" t="s">
        <v>687</v>
      </c>
      <c r="E1" t="s">
        <v>3</v>
      </c>
      <c r="F1" t="s">
        <v>688</v>
      </c>
      <c r="G1" t="s">
        <v>4</v>
      </c>
      <c r="H1" t="s">
        <v>5</v>
      </c>
      <c r="I1" s="1" t="s">
        <v>689</v>
      </c>
      <c r="J1" s="1" t="s">
        <v>667</v>
      </c>
      <c r="K1" s="1" t="s">
        <v>691</v>
      </c>
      <c r="L1" s="2" t="s">
        <v>669</v>
      </c>
      <c r="M1" s="1" t="s">
        <v>670</v>
      </c>
      <c r="N1" s="1" t="s">
        <v>671</v>
      </c>
      <c r="O1" s="1" t="s">
        <v>695</v>
      </c>
      <c r="P1" s="1" t="s">
        <v>700</v>
      </c>
      <c r="Q1" s="1" t="s">
        <v>702</v>
      </c>
      <c r="R1" s="1" t="s">
        <v>706</v>
      </c>
      <c r="S1" s="1" t="s">
        <v>708</v>
      </c>
      <c r="T1" s="1" t="s">
        <v>696</v>
      </c>
      <c r="U1" s="1" t="s">
        <v>701</v>
      </c>
      <c r="V1" s="1" t="s">
        <v>703</v>
      </c>
      <c r="W1" s="1" t="s">
        <v>707</v>
      </c>
      <c r="X1" s="1" t="s">
        <v>709</v>
      </c>
      <c r="AI1" t="s">
        <v>692</v>
      </c>
      <c r="AJ1" t="s">
        <v>693</v>
      </c>
      <c r="AK1" t="s">
        <v>687</v>
      </c>
      <c r="AM1" t="s">
        <v>694</v>
      </c>
    </row>
    <row r="2" spans="1:39" x14ac:dyDescent="0.3">
      <c r="A2" s="9" t="s">
        <v>249</v>
      </c>
      <c r="B2" s="9" t="s">
        <v>239</v>
      </c>
      <c r="C2" s="9">
        <f>192+228</f>
        <v>420</v>
      </c>
      <c r="D2" s="9">
        <v>100</v>
      </c>
      <c r="E2" s="10">
        <v>12509.537762739999</v>
      </c>
      <c r="F2" s="11">
        <f t="shared" ref="F2:F33" si="0">+D2*E2</f>
        <v>1250953.7762739998</v>
      </c>
      <c r="G2" s="9" t="s">
        <v>250</v>
      </c>
      <c r="H2" s="9" t="s">
        <v>9</v>
      </c>
      <c r="I2" s="10">
        <v>348</v>
      </c>
      <c r="J2" s="12">
        <f t="shared" ref="J2:J34" si="1">+I2/6</f>
        <v>58</v>
      </c>
      <c r="K2" s="10">
        <f>+D2/J2</f>
        <v>1.7241379310344827</v>
      </c>
      <c r="L2" s="9"/>
      <c r="M2" s="9"/>
      <c r="N2" s="9"/>
      <c r="O2">
        <v>100</v>
      </c>
      <c r="P2">
        <v>83</v>
      </c>
      <c r="Q2">
        <v>80</v>
      </c>
      <c r="R2">
        <v>49</v>
      </c>
      <c r="S2">
        <v>47</v>
      </c>
      <c r="T2" s="3">
        <f>+E2*O2</f>
        <v>1250953.7762739998</v>
      </c>
      <c r="U2" s="3">
        <f>+E2*P2</f>
        <v>1038291.63430742</v>
      </c>
      <c r="V2" s="3">
        <f>+E2*Q2</f>
        <v>1000763.0210192</v>
      </c>
      <c r="W2" s="3">
        <f>+E2*R2</f>
        <v>612967.35037425999</v>
      </c>
      <c r="X2" s="3">
        <f>+E2*S2</f>
        <v>587948.27484878001</v>
      </c>
      <c r="Y2" s="25">
        <f>+X2-F2</f>
        <v>-663005.50142521982</v>
      </c>
      <c r="AI2">
        <f>139+228</f>
        <v>367</v>
      </c>
      <c r="AJ2">
        <v>320</v>
      </c>
      <c r="AK2">
        <f>+AI2-AJ2</f>
        <v>47</v>
      </c>
      <c r="AM2">
        <v>228</v>
      </c>
    </row>
    <row r="3" spans="1:39" x14ac:dyDescent="0.3">
      <c r="A3" s="9" t="s">
        <v>601</v>
      </c>
      <c r="B3" s="9" t="s">
        <v>565</v>
      </c>
      <c r="C3" s="9">
        <f>473</f>
        <v>473</v>
      </c>
      <c r="D3" s="9">
        <v>213</v>
      </c>
      <c r="E3" s="10">
        <v>3660.31788456</v>
      </c>
      <c r="F3" s="11">
        <f t="shared" si="0"/>
        <v>779647.70941128</v>
      </c>
      <c r="G3" s="9" t="s">
        <v>602</v>
      </c>
      <c r="H3" s="9" t="s">
        <v>9</v>
      </c>
      <c r="I3" s="10">
        <v>303</v>
      </c>
      <c r="J3" s="12">
        <f t="shared" si="1"/>
        <v>50.5</v>
      </c>
      <c r="K3" s="10">
        <f t="shared" ref="K3:K66" si="2">+D3/J3</f>
        <v>4.217821782178218</v>
      </c>
      <c r="L3" s="9"/>
      <c r="M3" s="9"/>
      <c r="N3" s="9"/>
      <c r="O3">
        <v>204</v>
      </c>
      <c r="P3">
        <v>204</v>
      </c>
      <c r="Q3">
        <v>204</v>
      </c>
      <c r="R3">
        <v>199</v>
      </c>
      <c r="S3">
        <v>190</v>
      </c>
      <c r="T3" s="3">
        <f t="shared" ref="T3:T66" si="3">+E3*O3</f>
        <v>746704.84845023998</v>
      </c>
      <c r="U3" s="3">
        <f t="shared" ref="U3:U66" si="4">+E3*P3</f>
        <v>746704.84845023998</v>
      </c>
      <c r="V3" s="3">
        <f t="shared" ref="V3:V66" si="5">+E3*Q3</f>
        <v>746704.84845023998</v>
      </c>
      <c r="W3" s="3">
        <f t="shared" ref="W3:W66" si="6">+E3*R3</f>
        <v>728403.25902743998</v>
      </c>
      <c r="X3" s="3">
        <f t="shared" ref="X3:X66" si="7">+E3*S3</f>
        <v>695460.39806639997</v>
      </c>
      <c r="Y3" s="25">
        <f t="shared" ref="Y3:Y66" si="8">+X3-F3</f>
        <v>-84187.311344880029</v>
      </c>
      <c r="AI3">
        <v>450</v>
      </c>
      <c r="AJ3">
        <v>260</v>
      </c>
      <c r="AK3">
        <f t="shared" ref="AK3:AK66" si="9">+AI3-AJ3</f>
        <v>190</v>
      </c>
    </row>
    <row r="4" spans="1:39" x14ac:dyDescent="0.3">
      <c r="A4" s="9" t="s">
        <v>392</v>
      </c>
      <c r="B4" s="9" t="s">
        <v>368</v>
      </c>
      <c r="C4" s="9">
        <f>20+15</f>
        <v>35</v>
      </c>
      <c r="D4" s="9">
        <v>29</v>
      </c>
      <c r="E4" s="10">
        <v>15032.712900979999</v>
      </c>
      <c r="F4" s="11">
        <f t="shared" si="0"/>
        <v>435948.67412841995</v>
      </c>
      <c r="G4" s="9" t="s">
        <v>393</v>
      </c>
      <c r="H4" s="9" t="s">
        <v>9</v>
      </c>
      <c r="I4" s="10">
        <v>6</v>
      </c>
      <c r="J4" s="12">
        <f t="shared" si="1"/>
        <v>1</v>
      </c>
      <c r="K4" s="10">
        <f t="shared" si="2"/>
        <v>29</v>
      </c>
      <c r="L4" s="9"/>
      <c r="M4" s="9"/>
      <c r="N4" s="9"/>
      <c r="O4">
        <v>29</v>
      </c>
      <c r="P4">
        <v>28</v>
      </c>
      <c r="Q4">
        <v>28</v>
      </c>
      <c r="R4">
        <v>28</v>
      </c>
      <c r="S4">
        <v>28</v>
      </c>
      <c r="T4" s="3">
        <f t="shared" si="3"/>
        <v>435948.67412841995</v>
      </c>
      <c r="U4" s="3">
        <f t="shared" si="4"/>
        <v>420915.96122743998</v>
      </c>
      <c r="V4" s="3">
        <f t="shared" si="5"/>
        <v>420915.96122743998</v>
      </c>
      <c r="W4" s="3">
        <f t="shared" si="6"/>
        <v>420915.96122743998</v>
      </c>
      <c r="X4" s="3">
        <f t="shared" si="7"/>
        <v>420915.96122743998</v>
      </c>
      <c r="Y4" s="25">
        <f t="shared" si="8"/>
        <v>-15032.712900979968</v>
      </c>
      <c r="AI4">
        <f>19+15</f>
        <v>34</v>
      </c>
      <c r="AJ4">
        <v>6</v>
      </c>
      <c r="AK4">
        <f t="shared" si="9"/>
        <v>28</v>
      </c>
      <c r="AM4">
        <v>15</v>
      </c>
    </row>
    <row r="5" spans="1:39" x14ac:dyDescent="0.3">
      <c r="A5" s="9" t="s">
        <v>577</v>
      </c>
      <c r="B5" s="9" t="s">
        <v>565</v>
      </c>
      <c r="C5" s="9">
        <f>3742</f>
        <v>3742</v>
      </c>
      <c r="D5" s="9">
        <v>2292</v>
      </c>
      <c r="E5" s="10">
        <v>127.57777302</v>
      </c>
      <c r="F5" s="11">
        <f t="shared" si="0"/>
        <v>292408.25576183997</v>
      </c>
      <c r="G5" s="9" t="s">
        <v>578</v>
      </c>
      <c r="H5" s="9" t="s">
        <v>9</v>
      </c>
      <c r="I5" s="10">
        <v>1690</v>
      </c>
      <c r="J5" s="12">
        <f t="shared" si="1"/>
        <v>281.66666666666669</v>
      </c>
      <c r="K5" s="10">
        <f t="shared" si="2"/>
        <v>8.1372781065088748</v>
      </c>
      <c r="L5" s="9"/>
      <c r="M5" s="9"/>
      <c r="N5" s="9"/>
      <c r="O5">
        <v>2153</v>
      </c>
      <c r="P5">
        <v>2149</v>
      </c>
      <c r="Q5">
        <v>2049</v>
      </c>
      <c r="R5">
        <v>2028</v>
      </c>
      <c r="S5">
        <v>1880</v>
      </c>
      <c r="T5" s="3">
        <f t="shared" si="3"/>
        <v>274674.94531206001</v>
      </c>
      <c r="U5" s="3">
        <f t="shared" si="4"/>
        <v>274164.63421997998</v>
      </c>
      <c r="V5" s="3">
        <f t="shared" si="5"/>
        <v>261406.85691797998</v>
      </c>
      <c r="W5" s="3">
        <f t="shared" si="6"/>
        <v>258727.72368455998</v>
      </c>
      <c r="X5" s="3">
        <f t="shared" si="7"/>
        <v>239846.21327759998</v>
      </c>
      <c r="Y5" s="25">
        <f t="shared" si="8"/>
        <v>-52562.042484239995</v>
      </c>
      <c r="AI5">
        <v>3330</v>
      </c>
      <c r="AJ5">
        <v>1450</v>
      </c>
      <c r="AK5">
        <f t="shared" si="9"/>
        <v>1880</v>
      </c>
    </row>
    <row r="6" spans="1:39" x14ac:dyDescent="0.3">
      <c r="A6" s="9" t="s">
        <v>581</v>
      </c>
      <c r="B6" s="9" t="s">
        <v>565</v>
      </c>
      <c r="C6" s="9">
        <f>7953</f>
        <v>7953</v>
      </c>
      <c r="D6" s="9">
        <v>6378</v>
      </c>
      <c r="E6" s="10">
        <v>41.332047260000003</v>
      </c>
      <c r="F6" s="11">
        <f t="shared" si="0"/>
        <v>263615.79742428003</v>
      </c>
      <c r="G6" s="9" t="s">
        <v>582</v>
      </c>
      <c r="H6" s="9" t="s">
        <v>9</v>
      </c>
      <c r="I6" s="10">
        <v>1867</v>
      </c>
      <c r="J6" s="12">
        <f t="shared" si="1"/>
        <v>311.16666666666669</v>
      </c>
      <c r="K6" s="10">
        <f t="shared" si="2"/>
        <v>20.497054097482589</v>
      </c>
      <c r="L6" s="9"/>
      <c r="M6" s="9"/>
      <c r="N6" s="9"/>
      <c r="O6">
        <v>6376</v>
      </c>
      <c r="P6">
        <v>5975</v>
      </c>
      <c r="Q6">
        <v>5974</v>
      </c>
      <c r="R6">
        <v>5794</v>
      </c>
      <c r="S6">
        <v>5774</v>
      </c>
      <c r="T6" s="3">
        <f t="shared" si="3"/>
        <v>263533.13332975999</v>
      </c>
      <c r="U6" s="3">
        <f t="shared" si="4"/>
        <v>246958.98237850002</v>
      </c>
      <c r="V6" s="3">
        <f t="shared" si="5"/>
        <v>246917.65033124003</v>
      </c>
      <c r="W6" s="3">
        <f t="shared" si="6"/>
        <v>239477.88182444003</v>
      </c>
      <c r="X6" s="3">
        <f t="shared" si="7"/>
        <v>238651.24087924001</v>
      </c>
      <c r="Y6" s="25">
        <f t="shared" si="8"/>
        <v>-24964.556545040017</v>
      </c>
      <c r="AI6">
        <v>7349</v>
      </c>
      <c r="AJ6">
        <v>1575</v>
      </c>
      <c r="AK6">
        <f t="shared" si="9"/>
        <v>5774</v>
      </c>
    </row>
    <row r="7" spans="1:39" x14ac:dyDescent="0.3">
      <c r="A7" s="9" t="s">
        <v>564</v>
      </c>
      <c r="B7" s="9" t="s">
        <v>565</v>
      </c>
      <c r="C7" s="9">
        <f>1455</f>
        <v>1455</v>
      </c>
      <c r="D7" s="9">
        <v>930</v>
      </c>
      <c r="E7" s="10">
        <v>257.69284150999999</v>
      </c>
      <c r="F7" s="11">
        <f t="shared" si="0"/>
        <v>239654.34260430001</v>
      </c>
      <c r="G7" s="9" t="s">
        <v>566</v>
      </c>
      <c r="H7" s="9" t="s">
        <v>9</v>
      </c>
      <c r="I7" s="10">
        <v>624</v>
      </c>
      <c r="J7" s="12">
        <f t="shared" si="1"/>
        <v>104</v>
      </c>
      <c r="K7" s="10">
        <f t="shared" si="2"/>
        <v>8.9423076923076916</v>
      </c>
      <c r="L7" s="9"/>
      <c r="M7" s="17">
        <v>45937</v>
      </c>
      <c r="N7" s="9" t="s">
        <v>684</v>
      </c>
      <c r="O7">
        <v>909</v>
      </c>
      <c r="P7">
        <v>905</v>
      </c>
      <c r="Q7">
        <v>893</v>
      </c>
      <c r="R7">
        <v>857</v>
      </c>
      <c r="S7">
        <v>819</v>
      </c>
      <c r="T7" s="3">
        <f t="shared" si="3"/>
        <v>234242.79293259</v>
      </c>
      <c r="U7" s="3">
        <f t="shared" si="4"/>
        <v>233212.02156654999</v>
      </c>
      <c r="V7" s="3">
        <f t="shared" si="5"/>
        <v>230119.70746842999</v>
      </c>
      <c r="W7" s="3">
        <f t="shared" si="6"/>
        <v>220842.76517406999</v>
      </c>
      <c r="X7" s="3">
        <f t="shared" si="7"/>
        <v>211050.43719669001</v>
      </c>
      <c r="Y7" s="25">
        <f t="shared" si="8"/>
        <v>-28603.90540761</v>
      </c>
      <c r="AI7">
        <v>1344</v>
      </c>
      <c r="AJ7">
        <v>525</v>
      </c>
      <c r="AK7">
        <f t="shared" si="9"/>
        <v>819</v>
      </c>
    </row>
    <row r="8" spans="1:39" x14ac:dyDescent="0.3">
      <c r="A8" s="9" t="s">
        <v>238</v>
      </c>
      <c r="B8" s="9" t="s">
        <v>239</v>
      </c>
      <c r="C8" s="9">
        <f>1+24</f>
        <v>25</v>
      </c>
      <c r="D8" s="9">
        <v>10</v>
      </c>
      <c r="E8" s="10">
        <v>19493.41</v>
      </c>
      <c r="F8" s="11">
        <f t="shared" si="0"/>
        <v>194934.1</v>
      </c>
      <c r="G8" s="9" t="s">
        <v>240</v>
      </c>
      <c r="H8" s="9" t="s">
        <v>9</v>
      </c>
      <c r="I8" s="10">
        <f>2+15</f>
        <v>17</v>
      </c>
      <c r="J8" s="12">
        <f t="shared" si="1"/>
        <v>2.8333333333333335</v>
      </c>
      <c r="K8" s="10">
        <f t="shared" si="2"/>
        <v>3.5294117647058822</v>
      </c>
      <c r="L8" s="9"/>
      <c r="M8" s="9"/>
      <c r="N8" s="9"/>
      <c r="O8">
        <v>10</v>
      </c>
      <c r="P8">
        <v>10</v>
      </c>
      <c r="Q8">
        <v>10</v>
      </c>
      <c r="R8">
        <v>10</v>
      </c>
      <c r="S8">
        <v>10</v>
      </c>
      <c r="T8" s="3">
        <f t="shared" si="3"/>
        <v>194934.1</v>
      </c>
      <c r="U8" s="3">
        <f t="shared" si="4"/>
        <v>194934.1</v>
      </c>
      <c r="V8" s="3">
        <f t="shared" si="5"/>
        <v>194934.1</v>
      </c>
      <c r="W8" s="3">
        <f t="shared" si="6"/>
        <v>194934.1</v>
      </c>
      <c r="X8" s="3">
        <f t="shared" si="7"/>
        <v>194934.1</v>
      </c>
      <c r="Y8" s="25">
        <f t="shared" si="8"/>
        <v>0</v>
      </c>
      <c r="AI8">
        <f>1+24</f>
        <v>25</v>
      </c>
      <c r="AJ8">
        <v>15</v>
      </c>
      <c r="AK8">
        <f t="shared" si="9"/>
        <v>10</v>
      </c>
      <c r="AM8">
        <v>24</v>
      </c>
    </row>
    <row r="9" spans="1:39" x14ac:dyDescent="0.3">
      <c r="A9" s="13" t="s">
        <v>225</v>
      </c>
      <c r="B9" s="13" t="s">
        <v>183</v>
      </c>
      <c r="C9" s="13">
        <v>16</v>
      </c>
      <c r="D9" s="13">
        <v>16</v>
      </c>
      <c r="E9" s="14">
        <v>9565.8701000000001</v>
      </c>
      <c r="F9" s="15">
        <f t="shared" si="0"/>
        <v>153053.9216</v>
      </c>
      <c r="G9" s="13" t="s">
        <v>226</v>
      </c>
      <c r="H9" s="13" t="s">
        <v>9</v>
      </c>
      <c r="I9" s="14">
        <v>1</v>
      </c>
      <c r="J9" s="16">
        <f t="shared" si="1"/>
        <v>0.16666666666666666</v>
      </c>
      <c r="K9" s="14">
        <f t="shared" si="2"/>
        <v>96</v>
      </c>
      <c r="L9" s="13"/>
      <c r="M9" s="13"/>
      <c r="N9" s="13"/>
      <c r="O9">
        <v>16</v>
      </c>
      <c r="P9">
        <v>16</v>
      </c>
      <c r="Q9">
        <v>16</v>
      </c>
      <c r="R9">
        <v>16</v>
      </c>
      <c r="S9">
        <v>16</v>
      </c>
      <c r="T9" s="3">
        <f t="shared" si="3"/>
        <v>153053.9216</v>
      </c>
      <c r="U9" s="3">
        <f t="shared" si="4"/>
        <v>153053.9216</v>
      </c>
      <c r="V9" s="3">
        <f t="shared" si="5"/>
        <v>153053.9216</v>
      </c>
      <c r="W9" s="3">
        <f t="shared" si="6"/>
        <v>153053.9216</v>
      </c>
      <c r="X9" s="3">
        <f t="shared" si="7"/>
        <v>153053.9216</v>
      </c>
      <c r="Y9" s="25">
        <f t="shared" si="8"/>
        <v>0</v>
      </c>
      <c r="AI9">
        <v>16</v>
      </c>
      <c r="AJ9">
        <v>0</v>
      </c>
      <c r="AK9">
        <f t="shared" si="9"/>
        <v>16</v>
      </c>
    </row>
    <row r="10" spans="1:39" x14ac:dyDescent="0.3">
      <c r="A10" s="9" t="s">
        <v>481</v>
      </c>
      <c r="B10" s="9" t="s">
        <v>468</v>
      </c>
      <c r="C10" s="9">
        <f>357</f>
        <v>357</v>
      </c>
      <c r="D10" s="9">
        <v>227</v>
      </c>
      <c r="E10" s="10">
        <v>625.28411282000002</v>
      </c>
      <c r="F10" s="11">
        <f t="shared" si="0"/>
        <v>141939.49361013999</v>
      </c>
      <c r="G10" s="9" t="s">
        <v>482</v>
      </c>
      <c r="H10" s="9" t="s">
        <v>9</v>
      </c>
      <c r="I10" s="10">
        <v>151</v>
      </c>
      <c r="J10" s="12">
        <f t="shared" si="1"/>
        <v>25.166666666666668</v>
      </c>
      <c r="K10" s="10">
        <f t="shared" si="2"/>
        <v>9.0198675496688736</v>
      </c>
      <c r="L10" s="9"/>
      <c r="M10" s="17">
        <v>46073</v>
      </c>
      <c r="N10" s="9" t="s">
        <v>683</v>
      </c>
      <c r="O10">
        <v>227</v>
      </c>
      <c r="P10">
        <v>219</v>
      </c>
      <c r="Q10">
        <v>216</v>
      </c>
      <c r="R10">
        <v>208</v>
      </c>
      <c r="S10">
        <v>203</v>
      </c>
      <c r="T10" s="3">
        <f t="shared" si="3"/>
        <v>141939.49361013999</v>
      </c>
      <c r="U10" s="3">
        <f t="shared" si="4"/>
        <v>136937.22070758001</v>
      </c>
      <c r="V10" s="3">
        <f t="shared" si="5"/>
        <v>135061.36836912</v>
      </c>
      <c r="W10" s="3">
        <f t="shared" si="6"/>
        <v>130059.09546656</v>
      </c>
      <c r="X10" s="3">
        <f t="shared" si="7"/>
        <v>126932.67490246</v>
      </c>
      <c r="Y10" s="25">
        <f t="shared" si="8"/>
        <v>-15006.818707679995</v>
      </c>
      <c r="AI10">
        <v>333</v>
      </c>
      <c r="AJ10">
        <v>130</v>
      </c>
      <c r="AK10">
        <f t="shared" si="9"/>
        <v>203</v>
      </c>
    </row>
    <row r="11" spans="1:39" x14ac:dyDescent="0.3">
      <c r="A11" s="13" t="s">
        <v>203</v>
      </c>
      <c r="B11" s="13" t="s">
        <v>183</v>
      </c>
      <c r="C11" s="13">
        <v>19</v>
      </c>
      <c r="D11" s="13">
        <v>19</v>
      </c>
      <c r="E11" s="14">
        <v>7329.3846999999996</v>
      </c>
      <c r="F11" s="15">
        <f t="shared" si="0"/>
        <v>139258.30929999999</v>
      </c>
      <c r="G11" s="13" t="s">
        <v>204</v>
      </c>
      <c r="H11" s="13" t="s">
        <v>9</v>
      </c>
      <c r="I11" s="14">
        <v>1</v>
      </c>
      <c r="J11" s="16">
        <f t="shared" si="1"/>
        <v>0.16666666666666666</v>
      </c>
      <c r="K11" s="14">
        <f t="shared" si="2"/>
        <v>114</v>
      </c>
      <c r="L11" s="13"/>
      <c r="M11" s="13"/>
      <c r="N11" s="13"/>
      <c r="O11">
        <v>19</v>
      </c>
      <c r="P11">
        <v>19</v>
      </c>
      <c r="Q11">
        <v>19</v>
      </c>
      <c r="R11">
        <v>19</v>
      </c>
      <c r="S11">
        <v>19</v>
      </c>
      <c r="T11" s="3">
        <f t="shared" si="3"/>
        <v>139258.30929999999</v>
      </c>
      <c r="U11" s="3">
        <f t="shared" si="4"/>
        <v>139258.30929999999</v>
      </c>
      <c r="V11" s="3">
        <f t="shared" si="5"/>
        <v>139258.30929999999</v>
      </c>
      <c r="W11" s="3">
        <f t="shared" si="6"/>
        <v>139258.30929999999</v>
      </c>
      <c r="X11" s="3">
        <f t="shared" si="7"/>
        <v>139258.30929999999</v>
      </c>
      <c r="Y11" s="25">
        <f t="shared" si="8"/>
        <v>0</v>
      </c>
      <c r="AI11">
        <v>19</v>
      </c>
      <c r="AJ11">
        <v>0</v>
      </c>
      <c r="AK11">
        <f t="shared" si="9"/>
        <v>19</v>
      </c>
    </row>
    <row r="12" spans="1:39" x14ac:dyDescent="0.3">
      <c r="A12" s="9" t="s">
        <v>20</v>
      </c>
      <c r="B12" s="9" t="s">
        <v>7</v>
      </c>
      <c r="C12" s="9">
        <f>227+50</f>
        <v>277</v>
      </c>
      <c r="D12" s="9">
        <v>187</v>
      </c>
      <c r="E12" s="10">
        <v>712.69832191</v>
      </c>
      <c r="F12" s="11">
        <f t="shared" si="0"/>
        <v>133274.58619716999</v>
      </c>
      <c r="G12" s="9" t="s">
        <v>21</v>
      </c>
      <c r="H12" s="9" t="s">
        <v>9</v>
      </c>
      <c r="I12" s="10">
        <v>102</v>
      </c>
      <c r="J12" s="12">
        <f t="shared" si="1"/>
        <v>17</v>
      </c>
      <c r="K12" s="10">
        <f t="shared" si="2"/>
        <v>11</v>
      </c>
      <c r="L12" s="9"/>
      <c r="M12" s="9"/>
      <c r="N12" s="9"/>
      <c r="O12">
        <v>187</v>
      </c>
      <c r="P12">
        <v>171</v>
      </c>
      <c r="Q12">
        <v>161</v>
      </c>
      <c r="R12">
        <v>137</v>
      </c>
      <c r="S12">
        <v>128</v>
      </c>
      <c r="T12" s="3">
        <f t="shared" si="3"/>
        <v>133274.58619716999</v>
      </c>
      <c r="U12" s="3">
        <f t="shared" si="4"/>
        <v>121871.41304661</v>
      </c>
      <c r="V12" s="3">
        <f t="shared" si="5"/>
        <v>114744.42982751</v>
      </c>
      <c r="W12" s="3">
        <f t="shared" si="6"/>
        <v>97639.670101669995</v>
      </c>
      <c r="X12" s="3">
        <f t="shared" si="7"/>
        <v>91225.385204480001</v>
      </c>
      <c r="Y12" s="25">
        <f t="shared" si="8"/>
        <v>-42049.200992689992</v>
      </c>
      <c r="AI12">
        <f>168+50</f>
        <v>218</v>
      </c>
      <c r="AJ12">
        <v>90</v>
      </c>
      <c r="AK12">
        <f t="shared" si="9"/>
        <v>128</v>
      </c>
      <c r="AM12">
        <v>50</v>
      </c>
    </row>
    <row r="13" spans="1:39" x14ac:dyDescent="0.3">
      <c r="A13" s="9" t="s">
        <v>336</v>
      </c>
      <c r="B13" s="9" t="s">
        <v>274</v>
      </c>
      <c r="C13" s="9">
        <f>41822</f>
        <v>41822</v>
      </c>
      <c r="D13" s="9">
        <v>23322</v>
      </c>
      <c r="E13" s="10">
        <v>3.9260999999999999</v>
      </c>
      <c r="F13" s="11">
        <f t="shared" si="0"/>
        <v>91564.504199999996</v>
      </c>
      <c r="G13" s="9" t="s">
        <v>337</v>
      </c>
      <c r="H13" s="9" t="s">
        <v>9</v>
      </c>
      <c r="I13" s="10">
        <v>21833</v>
      </c>
      <c r="J13" s="12">
        <f t="shared" si="1"/>
        <v>3638.8333333333335</v>
      </c>
      <c r="K13" s="10">
        <f t="shared" si="2"/>
        <v>6.4091970869784269</v>
      </c>
      <c r="L13" s="26">
        <v>48549</v>
      </c>
      <c r="M13" s="9"/>
      <c r="N13" s="9"/>
      <c r="O13">
        <v>23222</v>
      </c>
      <c r="P13">
        <v>22222</v>
      </c>
      <c r="Q13">
        <v>22085</v>
      </c>
      <c r="R13">
        <v>21982</v>
      </c>
      <c r="S13">
        <v>21181</v>
      </c>
      <c r="T13" s="3">
        <f t="shared" si="3"/>
        <v>91171.894199999995</v>
      </c>
      <c r="U13" s="3">
        <f t="shared" si="4"/>
        <v>87245.794200000004</v>
      </c>
      <c r="V13" s="3">
        <f t="shared" si="5"/>
        <v>86707.9185</v>
      </c>
      <c r="W13" s="3">
        <f t="shared" si="6"/>
        <v>86303.530199999994</v>
      </c>
      <c r="X13" s="3">
        <f t="shared" si="7"/>
        <v>83158.724099999992</v>
      </c>
      <c r="Y13" s="25">
        <f t="shared" si="8"/>
        <v>-8405.7801000000036</v>
      </c>
      <c r="AI13">
        <v>39681</v>
      </c>
      <c r="AJ13">
        <v>18500</v>
      </c>
      <c r="AK13">
        <f t="shared" si="9"/>
        <v>21181</v>
      </c>
    </row>
    <row r="14" spans="1:39" x14ac:dyDescent="0.3">
      <c r="A14" s="9" t="s">
        <v>26</v>
      </c>
      <c r="B14" s="9" t="s">
        <v>7</v>
      </c>
      <c r="C14" s="9">
        <f>18+15</f>
        <v>33</v>
      </c>
      <c r="D14" s="9">
        <v>16</v>
      </c>
      <c r="E14" s="10">
        <v>4664.9791290200001</v>
      </c>
      <c r="F14" s="11">
        <f t="shared" si="0"/>
        <v>74639.666064320001</v>
      </c>
      <c r="G14" s="9" t="s">
        <v>27</v>
      </c>
      <c r="H14" s="9" t="s">
        <v>9</v>
      </c>
      <c r="I14" s="10">
        <v>19</v>
      </c>
      <c r="J14" s="12">
        <f t="shared" si="1"/>
        <v>3.1666666666666665</v>
      </c>
      <c r="K14" s="10">
        <f t="shared" si="2"/>
        <v>5.052631578947369</v>
      </c>
      <c r="L14" s="9"/>
      <c r="M14" s="9"/>
      <c r="N14" s="9"/>
      <c r="O14">
        <v>16</v>
      </c>
      <c r="P14">
        <v>16</v>
      </c>
      <c r="Q14">
        <v>16</v>
      </c>
      <c r="R14">
        <v>16</v>
      </c>
      <c r="S14">
        <v>16</v>
      </c>
      <c r="T14" s="3">
        <f t="shared" si="3"/>
        <v>74639.666064320001</v>
      </c>
      <c r="U14" s="3">
        <f t="shared" si="4"/>
        <v>74639.666064320001</v>
      </c>
      <c r="V14" s="3">
        <f t="shared" si="5"/>
        <v>74639.666064320001</v>
      </c>
      <c r="W14" s="3">
        <f t="shared" si="6"/>
        <v>74639.666064320001</v>
      </c>
      <c r="X14" s="3">
        <f t="shared" si="7"/>
        <v>74639.666064320001</v>
      </c>
      <c r="Y14" s="25">
        <f t="shared" si="8"/>
        <v>0</v>
      </c>
      <c r="AI14">
        <f>18+15</f>
        <v>33</v>
      </c>
      <c r="AJ14">
        <v>17</v>
      </c>
      <c r="AK14">
        <f t="shared" si="9"/>
        <v>16</v>
      </c>
      <c r="AM14">
        <v>15</v>
      </c>
    </row>
    <row r="15" spans="1:39" x14ac:dyDescent="0.3">
      <c r="A15" s="9" t="s">
        <v>162</v>
      </c>
      <c r="B15" s="9" t="s">
        <v>160</v>
      </c>
      <c r="C15" s="9">
        <f>3+21</f>
        <v>24</v>
      </c>
      <c r="D15" s="9">
        <v>20</v>
      </c>
      <c r="E15" s="10">
        <v>3627.3661346200001</v>
      </c>
      <c r="F15" s="11">
        <f t="shared" si="0"/>
        <v>72547.322692400005</v>
      </c>
      <c r="G15" s="9" t="s">
        <v>163</v>
      </c>
      <c r="H15" s="9" t="s">
        <v>9</v>
      </c>
      <c r="I15" s="10">
        <v>4</v>
      </c>
      <c r="J15" s="12">
        <f t="shared" si="1"/>
        <v>0.66666666666666663</v>
      </c>
      <c r="K15" s="10">
        <f t="shared" si="2"/>
        <v>30</v>
      </c>
      <c r="L15" s="9"/>
      <c r="M15" s="9"/>
      <c r="N15" s="9"/>
      <c r="O15">
        <v>20</v>
      </c>
      <c r="P15">
        <v>20</v>
      </c>
      <c r="Q15">
        <v>19</v>
      </c>
      <c r="R15">
        <v>19</v>
      </c>
      <c r="S15">
        <v>19</v>
      </c>
      <c r="T15" s="3">
        <f t="shared" si="3"/>
        <v>72547.322692400005</v>
      </c>
      <c r="U15" s="3">
        <f t="shared" si="4"/>
        <v>72547.322692400005</v>
      </c>
      <c r="V15" s="3">
        <f t="shared" si="5"/>
        <v>68919.956557780009</v>
      </c>
      <c r="W15" s="3">
        <f t="shared" si="6"/>
        <v>68919.956557780009</v>
      </c>
      <c r="X15" s="3">
        <f t="shared" si="7"/>
        <v>68919.956557780009</v>
      </c>
      <c r="Y15" s="25">
        <f t="shared" si="8"/>
        <v>-3627.3661346199951</v>
      </c>
      <c r="AI15">
        <f>2+21</f>
        <v>23</v>
      </c>
      <c r="AJ15">
        <v>4</v>
      </c>
      <c r="AK15">
        <f t="shared" si="9"/>
        <v>19</v>
      </c>
      <c r="AM15">
        <v>21</v>
      </c>
    </row>
    <row r="16" spans="1:39" x14ac:dyDescent="0.3">
      <c r="A16" s="9" t="s">
        <v>18</v>
      </c>
      <c r="B16" s="9" t="s">
        <v>7</v>
      </c>
      <c r="C16" s="9">
        <v>115</v>
      </c>
      <c r="D16" s="9">
        <v>115</v>
      </c>
      <c r="E16" s="10">
        <v>617.62421789999996</v>
      </c>
      <c r="F16" s="11">
        <f t="shared" si="0"/>
        <v>71026.785058499998</v>
      </c>
      <c r="G16" s="9" t="s">
        <v>19</v>
      </c>
      <c r="H16" s="9" t="s">
        <v>9</v>
      </c>
      <c r="I16" s="10">
        <v>5</v>
      </c>
      <c r="J16" s="12">
        <f t="shared" si="1"/>
        <v>0.83333333333333337</v>
      </c>
      <c r="K16" s="10">
        <f t="shared" si="2"/>
        <v>138</v>
      </c>
      <c r="L16" s="9"/>
      <c r="M16" s="9"/>
      <c r="N16" s="9"/>
      <c r="O16">
        <v>115</v>
      </c>
      <c r="P16">
        <v>115</v>
      </c>
      <c r="Q16">
        <v>115</v>
      </c>
      <c r="R16">
        <v>115</v>
      </c>
      <c r="S16">
        <v>115</v>
      </c>
      <c r="T16" s="3">
        <f t="shared" si="3"/>
        <v>71026.785058499998</v>
      </c>
      <c r="U16" s="3">
        <f t="shared" si="4"/>
        <v>71026.785058499998</v>
      </c>
      <c r="V16" s="3">
        <f t="shared" si="5"/>
        <v>71026.785058499998</v>
      </c>
      <c r="W16" s="3">
        <f t="shared" si="6"/>
        <v>71026.785058499998</v>
      </c>
      <c r="X16" s="3">
        <f t="shared" si="7"/>
        <v>71026.785058499998</v>
      </c>
      <c r="Y16" s="25">
        <f t="shared" si="8"/>
        <v>0</v>
      </c>
      <c r="AI16">
        <v>115</v>
      </c>
      <c r="AJ16">
        <v>0</v>
      </c>
      <c r="AK16">
        <f t="shared" si="9"/>
        <v>115</v>
      </c>
    </row>
    <row r="17" spans="1:37" x14ac:dyDescent="0.3">
      <c r="A17" s="9" t="s">
        <v>378</v>
      </c>
      <c r="B17" s="9" t="s">
        <v>368</v>
      </c>
      <c r="C17" s="9">
        <v>3</v>
      </c>
      <c r="D17" s="9">
        <v>3</v>
      </c>
      <c r="E17" s="10">
        <v>23130.023700000002</v>
      </c>
      <c r="F17" s="11">
        <f t="shared" si="0"/>
        <v>69390.071100000001</v>
      </c>
      <c r="G17" s="9" t="s">
        <v>379</v>
      </c>
      <c r="H17" s="9" t="s">
        <v>9</v>
      </c>
      <c r="I17" s="10">
        <v>0</v>
      </c>
      <c r="J17" s="12">
        <f t="shared" si="1"/>
        <v>0</v>
      </c>
      <c r="K17" s="10" t="e">
        <f t="shared" si="2"/>
        <v>#DIV/0!</v>
      </c>
      <c r="L17" s="9"/>
      <c r="M17" s="9"/>
      <c r="N17" s="9" t="s">
        <v>674</v>
      </c>
      <c r="O17">
        <v>3</v>
      </c>
      <c r="P17">
        <v>3</v>
      </c>
      <c r="Q17">
        <v>3</v>
      </c>
      <c r="R17">
        <v>3</v>
      </c>
      <c r="S17">
        <v>3</v>
      </c>
      <c r="T17" s="3">
        <f t="shared" si="3"/>
        <v>69390.071100000001</v>
      </c>
      <c r="U17" s="3">
        <f t="shared" si="4"/>
        <v>69390.071100000001</v>
      </c>
      <c r="V17" s="3">
        <f t="shared" si="5"/>
        <v>69390.071100000001</v>
      </c>
      <c r="W17" s="3">
        <f t="shared" si="6"/>
        <v>69390.071100000001</v>
      </c>
      <c r="X17" s="3">
        <f t="shared" si="7"/>
        <v>69390.071100000001</v>
      </c>
      <c r="Y17" s="25">
        <f t="shared" si="8"/>
        <v>0</v>
      </c>
      <c r="AI17">
        <v>3</v>
      </c>
      <c r="AJ17">
        <v>0</v>
      </c>
      <c r="AK17">
        <f t="shared" si="9"/>
        <v>3</v>
      </c>
    </row>
    <row r="18" spans="1:37" x14ac:dyDescent="0.3">
      <c r="A18" s="9" t="s">
        <v>253</v>
      </c>
      <c r="B18" s="9" t="s">
        <v>239</v>
      </c>
      <c r="C18" s="9">
        <v>3</v>
      </c>
      <c r="D18" s="9">
        <v>3</v>
      </c>
      <c r="E18" s="10">
        <v>22893.73</v>
      </c>
      <c r="F18" s="11">
        <f t="shared" si="0"/>
        <v>68681.19</v>
      </c>
      <c r="G18" s="9" t="s">
        <v>254</v>
      </c>
      <c r="H18" s="9" t="s">
        <v>9</v>
      </c>
      <c r="I18" s="10">
        <v>0</v>
      </c>
      <c r="J18" s="12">
        <f t="shared" si="1"/>
        <v>0</v>
      </c>
      <c r="K18" s="10" t="e">
        <f t="shared" si="2"/>
        <v>#DIV/0!</v>
      </c>
      <c r="L18" s="9"/>
      <c r="M18" s="17">
        <v>45866</v>
      </c>
      <c r="N18" s="9"/>
      <c r="O18">
        <v>2</v>
      </c>
      <c r="P18">
        <v>2</v>
      </c>
      <c r="Q18">
        <v>2</v>
      </c>
      <c r="R18">
        <v>2</v>
      </c>
      <c r="S18">
        <v>2</v>
      </c>
      <c r="T18" s="3">
        <f t="shared" si="3"/>
        <v>45787.46</v>
      </c>
      <c r="U18" s="3">
        <f t="shared" si="4"/>
        <v>45787.46</v>
      </c>
      <c r="V18" s="3">
        <f t="shared" si="5"/>
        <v>45787.46</v>
      </c>
      <c r="W18" s="3">
        <f t="shared" si="6"/>
        <v>45787.46</v>
      </c>
      <c r="X18" s="3">
        <f t="shared" si="7"/>
        <v>45787.46</v>
      </c>
      <c r="Y18" s="25">
        <f t="shared" si="8"/>
        <v>-22893.730000000003</v>
      </c>
      <c r="AI18">
        <v>2</v>
      </c>
      <c r="AJ18">
        <v>0</v>
      </c>
      <c r="AK18">
        <f t="shared" si="9"/>
        <v>2</v>
      </c>
    </row>
    <row r="19" spans="1:37" x14ac:dyDescent="0.3">
      <c r="A19" s="9" t="s">
        <v>314</v>
      </c>
      <c r="B19" s="9" t="s">
        <v>274</v>
      </c>
      <c r="C19" s="9">
        <f>10970</f>
        <v>10970</v>
      </c>
      <c r="D19" s="9">
        <v>8170</v>
      </c>
      <c r="E19" s="10">
        <v>7.6250131300000001</v>
      </c>
      <c r="F19" s="11">
        <f t="shared" si="0"/>
        <v>62296.357272100002</v>
      </c>
      <c r="G19" s="9" t="s">
        <v>315</v>
      </c>
      <c r="H19" s="9" t="s">
        <v>9</v>
      </c>
      <c r="I19" s="10">
        <v>3328</v>
      </c>
      <c r="J19" s="12">
        <f t="shared" si="1"/>
        <v>554.66666666666663</v>
      </c>
      <c r="K19" s="10">
        <f t="shared" si="2"/>
        <v>14.729567307692308</v>
      </c>
      <c r="L19" s="27" t="s">
        <v>697</v>
      </c>
      <c r="M19" s="9"/>
      <c r="N19" s="9"/>
      <c r="O19">
        <v>8170</v>
      </c>
      <c r="P19">
        <v>8070</v>
      </c>
      <c r="Q19">
        <v>8069</v>
      </c>
      <c r="R19">
        <v>7968</v>
      </c>
      <c r="S19">
        <v>7668</v>
      </c>
      <c r="T19" s="3">
        <f t="shared" si="3"/>
        <v>62296.357272100002</v>
      </c>
      <c r="U19" s="3">
        <f t="shared" si="4"/>
        <v>61533.855959100001</v>
      </c>
      <c r="V19" s="3">
        <f t="shared" si="5"/>
        <v>61526.230945970005</v>
      </c>
      <c r="W19" s="3">
        <f t="shared" si="6"/>
        <v>60756.10461984</v>
      </c>
      <c r="X19" s="3">
        <f t="shared" si="7"/>
        <v>58468.600680839998</v>
      </c>
      <c r="Y19" s="25">
        <f t="shared" si="8"/>
        <v>-3827.7565912600039</v>
      </c>
      <c r="AI19">
        <v>10468</v>
      </c>
      <c r="AJ19">
        <v>2800</v>
      </c>
      <c r="AK19">
        <f t="shared" si="9"/>
        <v>7668</v>
      </c>
    </row>
    <row r="20" spans="1:37" x14ac:dyDescent="0.3">
      <c r="A20" s="13" t="s">
        <v>195</v>
      </c>
      <c r="B20" s="13" t="s">
        <v>183</v>
      </c>
      <c r="C20" s="13">
        <v>11</v>
      </c>
      <c r="D20" s="13">
        <v>11</v>
      </c>
      <c r="E20" s="14">
        <v>4806.5749666700003</v>
      </c>
      <c r="F20" s="15">
        <f t="shared" si="0"/>
        <v>52872.324633370001</v>
      </c>
      <c r="G20" s="13" t="s">
        <v>196</v>
      </c>
      <c r="H20" s="13" t="s">
        <v>9</v>
      </c>
      <c r="I20" s="14">
        <v>0</v>
      </c>
      <c r="J20" s="16">
        <f t="shared" si="1"/>
        <v>0</v>
      </c>
      <c r="K20" s="14" t="e">
        <f t="shared" si="2"/>
        <v>#DIV/0!</v>
      </c>
      <c r="L20" s="13"/>
      <c r="M20" s="13"/>
      <c r="N20" s="13"/>
      <c r="O20">
        <v>11</v>
      </c>
      <c r="P20">
        <v>11</v>
      </c>
      <c r="Q20">
        <v>11</v>
      </c>
      <c r="R20">
        <v>11</v>
      </c>
      <c r="S20">
        <v>11</v>
      </c>
      <c r="T20" s="3">
        <f t="shared" si="3"/>
        <v>52872.324633370001</v>
      </c>
      <c r="U20" s="3">
        <f t="shared" si="4"/>
        <v>52872.324633370001</v>
      </c>
      <c r="V20" s="3">
        <f t="shared" si="5"/>
        <v>52872.324633370001</v>
      </c>
      <c r="W20" s="3">
        <f t="shared" si="6"/>
        <v>52872.324633370001</v>
      </c>
      <c r="X20" s="3">
        <f t="shared" si="7"/>
        <v>52872.324633370001</v>
      </c>
      <c r="Y20" s="25">
        <f t="shared" si="8"/>
        <v>0</v>
      </c>
      <c r="AI20">
        <v>11</v>
      </c>
      <c r="AJ20">
        <v>0</v>
      </c>
      <c r="AK20">
        <f t="shared" si="9"/>
        <v>11</v>
      </c>
    </row>
    <row r="21" spans="1:37" x14ac:dyDescent="0.3">
      <c r="A21" s="9" t="s">
        <v>38</v>
      </c>
      <c r="B21" s="9" t="s">
        <v>7</v>
      </c>
      <c r="C21" s="9">
        <f>30</f>
        <v>30</v>
      </c>
      <c r="D21" s="9">
        <v>25</v>
      </c>
      <c r="E21" s="10">
        <v>1904.82839199</v>
      </c>
      <c r="F21" s="11">
        <f t="shared" si="0"/>
        <v>47620.709799750002</v>
      </c>
      <c r="G21" s="9" t="s">
        <v>39</v>
      </c>
      <c r="H21" s="9" t="s">
        <v>9</v>
      </c>
      <c r="I21" s="10">
        <v>6</v>
      </c>
      <c r="J21" s="12">
        <f t="shared" si="1"/>
        <v>1</v>
      </c>
      <c r="K21" s="10">
        <f t="shared" si="2"/>
        <v>25</v>
      </c>
      <c r="L21" s="9"/>
      <c r="M21" s="9"/>
      <c r="N21" s="9"/>
      <c r="O21">
        <v>25</v>
      </c>
      <c r="P21">
        <v>25</v>
      </c>
      <c r="Q21">
        <v>25</v>
      </c>
      <c r="R21">
        <v>24</v>
      </c>
      <c r="S21">
        <v>24</v>
      </c>
      <c r="T21" s="3">
        <f t="shared" si="3"/>
        <v>47620.709799750002</v>
      </c>
      <c r="U21" s="3">
        <f t="shared" si="4"/>
        <v>47620.709799750002</v>
      </c>
      <c r="V21" s="3">
        <f t="shared" si="5"/>
        <v>47620.709799750002</v>
      </c>
      <c r="W21" s="3">
        <f t="shared" si="6"/>
        <v>45715.881407759996</v>
      </c>
      <c r="X21" s="3">
        <f t="shared" si="7"/>
        <v>45715.881407759996</v>
      </c>
      <c r="Y21" s="25">
        <f t="shared" si="8"/>
        <v>-1904.8283919900059</v>
      </c>
      <c r="AI21">
        <v>29</v>
      </c>
      <c r="AJ21">
        <v>5</v>
      </c>
      <c r="AK21">
        <f t="shared" si="9"/>
        <v>24</v>
      </c>
    </row>
    <row r="22" spans="1:37" x14ac:dyDescent="0.3">
      <c r="A22" s="13" t="s">
        <v>207</v>
      </c>
      <c r="B22" s="13" t="s">
        <v>183</v>
      </c>
      <c r="C22" s="13">
        <v>3</v>
      </c>
      <c r="D22" s="13">
        <v>3</v>
      </c>
      <c r="E22" s="14">
        <v>14381.364149999999</v>
      </c>
      <c r="F22" s="15">
        <f t="shared" si="0"/>
        <v>43144.092449999996</v>
      </c>
      <c r="G22" s="13" t="s">
        <v>208</v>
      </c>
      <c r="H22" s="13" t="s">
        <v>9</v>
      </c>
      <c r="I22" s="14">
        <v>0</v>
      </c>
      <c r="J22" s="16">
        <f t="shared" si="1"/>
        <v>0</v>
      </c>
      <c r="K22" s="14" t="e">
        <f t="shared" si="2"/>
        <v>#DIV/0!</v>
      </c>
      <c r="L22" s="13"/>
      <c r="M22" s="13"/>
      <c r="N22" s="13"/>
      <c r="O22">
        <v>3</v>
      </c>
      <c r="P22">
        <v>3</v>
      </c>
      <c r="Q22">
        <v>3</v>
      </c>
      <c r="R22">
        <v>3</v>
      </c>
      <c r="S22">
        <v>3</v>
      </c>
      <c r="T22" s="3">
        <f t="shared" si="3"/>
        <v>43144.092449999996</v>
      </c>
      <c r="U22" s="3">
        <f t="shared" si="4"/>
        <v>43144.092449999996</v>
      </c>
      <c r="V22" s="3">
        <f t="shared" si="5"/>
        <v>43144.092449999996</v>
      </c>
      <c r="W22" s="3">
        <f t="shared" si="6"/>
        <v>43144.092449999996</v>
      </c>
      <c r="X22" s="3">
        <f t="shared" si="7"/>
        <v>43144.092449999996</v>
      </c>
      <c r="Y22" s="25">
        <f t="shared" si="8"/>
        <v>0</v>
      </c>
      <c r="AI22">
        <v>3</v>
      </c>
      <c r="AJ22">
        <v>0</v>
      </c>
      <c r="AK22">
        <f t="shared" si="9"/>
        <v>3</v>
      </c>
    </row>
    <row r="23" spans="1:37" x14ac:dyDescent="0.3">
      <c r="A23" s="9" t="s">
        <v>603</v>
      </c>
      <c r="B23" s="9" t="s">
        <v>565</v>
      </c>
      <c r="C23" s="9">
        <f>59</f>
        <v>59</v>
      </c>
      <c r="D23" s="9">
        <v>49</v>
      </c>
      <c r="E23" s="10">
        <v>858.85537681999995</v>
      </c>
      <c r="F23" s="11">
        <f t="shared" si="0"/>
        <v>42083.913464179997</v>
      </c>
      <c r="G23" s="9" t="s">
        <v>604</v>
      </c>
      <c r="H23" s="9" t="s">
        <v>9</v>
      </c>
      <c r="I23" s="10">
        <v>11</v>
      </c>
      <c r="J23" s="12">
        <f t="shared" si="1"/>
        <v>1.8333333333333333</v>
      </c>
      <c r="K23" s="10">
        <f t="shared" si="2"/>
        <v>26.727272727272727</v>
      </c>
      <c r="L23" s="9"/>
      <c r="M23" s="9"/>
      <c r="N23" s="9"/>
      <c r="O23">
        <v>49</v>
      </c>
      <c r="P23">
        <v>49</v>
      </c>
      <c r="Q23">
        <v>49</v>
      </c>
      <c r="R23">
        <v>49</v>
      </c>
      <c r="S23">
        <v>49</v>
      </c>
      <c r="T23" s="3">
        <f t="shared" si="3"/>
        <v>42083.913464179997</v>
      </c>
      <c r="U23" s="3">
        <f t="shared" si="4"/>
        <v>42083.913464179997</v>
      </c>
      <c r="V23" s="3">
        <f t="shared" si="5"/>
        <v>42083.913464179997</v>
      </c>
      <c r="W23" s="3">
        <f t="shared" si="6"/>
        <v>42083.913464179997</v>
      </c>
      <c r="X23" s="3">
        <f t="shared" si="7"/>
        <v>42083.913464179997</v>
      </c>
      <c r="Y23" s="25">
        <f t="shared" si="8"/>
        <v>0</v>
      </c>
      <c r="AI23">
        <v>59</v>
      </c>
      <c r="AJ23">
        <v>10</v>
      </c>
      <c r="AK23">
        <f t="shared" si="9"/>
        <v>49</v>
      </c>
    </row>
    <row r="24" spans="1:37" x14ac:dyDescent="0.3">
      <c r="A24" s="9" t="s">
        <v>243</v>
      </c>
      <c r="B24" s="9" t="s">
        <v>239</v>
      </c>
      <c r="C24" s="9">
        <v>3</v>
      </c>
      <c r="D24" s="9">
        <v>3</v>
      </c>
      <c r="E24" s="10">
        <v>13336.2585</v>
      </c>
      <c r="F24" s="11">
        <f t="shared" si="0"/>
        <v>40008.775500000003</v>
      </c>
      <c r="G24" s="9" t="s">
        <v>244</v>
      </c>
      <c r="H24" s="9" t="s">
        <v>9</v>
      </c>
      <c r="I24" s="10">
        <v>0</v>
      </c>
      <c r="J24" s="12">
        <f t="shared" si="1"/>
        <v>0</v>
      </c>
      <c r="K24" s="10" t="e">
        <f t="shared" si="2"/>
        <v>#DIV/0!</v>
      </c>
      <c r="L24" s="9"/>
      <c r="M24" s="9"/>
      <c r="N24" s="9"/>
      <c r="O24">
        <v>3</v>
      </c>
      <c r="P24">
        <v>3</v>
      </c>
      <c r="Q24">
        <v>3</v>
      </c>
      <c r="R24">
        <v>3</v>
      </c>
      <c r="S24">
        <v>3</v>
      </c>
      <c r="T24" s="3">
        <f t="shared" si="3"/>
        <v>40008.775500000003</v>
      </c>
      <c r="U24" s="3">
        <f t="shared" si="4"/>
        <v>40008.775500000003</v>
      </c>
      <c r="V24" s="3">
        <f t="shared" si="5"/>
        <v>40008.775500000003</v>
      </c>
      <c r="W24" s="3">
        <f t="shared" si="6"/>
        <v>40008.775500000003</v>
      </c>
      <c r="X24" s="3">
        <f t="shared" si="7"/>
        <v>40008.775500000003</v>
      </c>
      <c r="Y24" s="25">
        <f t="shared" si="8"/>
        <v>0</v>
      </c>
      <c r="AI24">
        <v>3</v>
      </c>
      <c r="AJ24">
        <v>0</v>
      </c>
      <c r="AK24">
        <f t="shared" si="9"/>
        <v>3</v>
      </c>
    </row>
    <row r="25" spans="1:37" x14ac:dyDescent="0.3">
      <c r="A25" s="9" t="s">
        <v>245</v>
      </c>
      <c r="B25" s="9" t="s">
        <v>239</v>
      </c>
      <c r="C25" s="9">
        <v>2</v>
      </c>
      <c r="D25" s="9">
        <v>2</v>
      </c>
      <c r="E25" s="10">
        <v>15896.837582079999</v>
      </c>
      <c r="F25" s="11">
        <f t="shared" si="0"/>
        <v>31793.675164159999</v>
      </c>
      <c r="G25" s="9" t="s">
        <v>246</v>
      </c>
      <c r="H25" s="9" t="s">
        <v>9</v>
      </c>
      <c r="I25" s="10">
        <v>11</v>
      </c>
      <c r="J25" s="12">
        <f t="shared" si="1"/>
        <v>1.8333333333333333</v>
      </c>
      <c r="K25" s="10">
        <f t="shared" si="2"/>
        <v>1.0909090909090911</v>
      </c>
      <c r="L25" s="9"/>
      <c r="M25" s="9"/>
      <c r="N25" s="9"/>
      <c r="O25">
        <v>2</v>
      </c>
      <c r="P25">
        <v>2</v>
      </c>
      <c r="Q25">
        <v>2</v>
      </c>
      <c r="R25">
        <v>2</v>
      </c>
      <c r="S25">
        <v>2</v>
      </c>
      <c r="T25" s="3">
        <f t="shared" si="3"/>
        <v>31793.675164159999</v>
      </c>
      <c r="U25" s="3">
        <f t="shared" si="4"/>
        <v>31793.675164159999</v>
      </c>
      <c r="V25" s="3">
        <f t="shared" si="5"/>
        <v>31793.675164159999</v>
      </c>
      <c r="W25" s="3">
        <f t="shared" si="6"/>
        <v>31793.675164159999</v>
      </c>
      <c r="X25" s="3">
        <f t="shared" si="7"/>
        <v>31793.675164159999</v>
      </c>
      <c r="Y25" s="25">
        <f t="shared" si="8"/>
        <v>0</v>
      </c>
      <c r="AI25">
        <v>2</v>
      </c>
      <c r="AJ25">
        <v>0</v>
      </c>
      <c r="AK25">
        <f t="shared" si="9"/>
        <v>2</v>
      </c>
    </row>
    <row r="26" spans="1:37" x14ac:dyDescent="0.3">
      <c r="A26" s="13" t="s">
        <v>189</v>
      </c>
      <c r="B26" s="13" t="s">
        <v>183</v>
      </c>
      <c r="C26" s="13">
        <v>19</v>
      </c>
      <c r="D26" s="13">
        <v>19</v>
      </c>
      <c r="E26" s="14">
        <v>1657.8148000000001</v>
      </c>
      <c r="F26" s="15">
        <f t="shared" si="0"/>
        <v>31498.481200000002</v>
      </c>
      <c r="G26" s="13" t="s">
        <v>190</v>
      </c>
      <c r="H26" s="13" t="s">
        <v>9</v>
      </c>
      <c r="I26" s="14">
        <v>1</v>
      </c>
      <c r="J26" s="16">
        <f t="shared" si="1"/>
        <v>0.16666666666666666</v>
      </c>
      <c r="K26" s="14">
        <f t="shared" si="2"/>
        <v>114</v>
      </c>
      <c r="L26" s="13"/>
      <c r="M26" s="13"/>
      <c r="N26" s="13"/>
      <c r="O26">
        <v>19</v>
      </c>
      <c r="P26">
        <v>19</v>
      </c>
      <c r="Q26">
        <v>19</v>
      </c>
      <c r="R26">
        <v>19</v>
      </c>
      <c r="S26">
        <v>19</v>
      </c>
      <c r="T26" s="3">
        <f t="shared" si="3"/>
        <v>31498.481200000002</v>
      </c>
      <c r="U26" s="3">
        <f t="shared" si="4"/>
        <v>31498.481200000002</v>
      </c>
      <c r="V26" s="3">
        <f t="shared" si="5"/>
        <v>31498.481200000002</v>
      </c>
      <c r="W26" s="3">
        <f t="shared" si="6"/>
        <v>31498.481200000002</v>
      </c>
      <c r="X26" s="3">
        <f t="shared" si="7"/>
        <v>31498.481200000002</v>
      </c>
      <c r="Y26" s="25">
        <f t="shared" si="8"/>
        <v>0</v>
      </c>
      <c r="AI26">
        <v>19</v>
      </c>
      <c r="AJ26">
        <v>0</v>
      </c>
      <c r="AK26">
        <f t="shared" si="9"/>
        <v>19</v>
      </c>
    </row>
    <row r="27" spans="1:37" x14ac:dyDescent="0.3">
      <c r="A27" s="9" t="s">
        <v>68</v>
      </c>
      <c r="B27" s="9" t="s">
        <v>7</v>
      </c>
      <c r="C27" s="9">
        <f>72</f>
        <v>72</v>
      </c>
      <c r="D27" s="9">
        <v>66</v>
      </c>
      <c r="E27" s="10">
        <v>435.75598101999998</v>
      </c>
      <c r="F27" s="11">
        <f t="shared" si="0"/>
        <v>28759.894747319999</v>
      </c>
      <c r="G27" s="9" t="s">
        <v>69</v>
      </c>
      <c r="H27" s="9" t="s">
        <v>9</v>
      </c>
      <c r="I27" s="10">
        <v>6</v>
      </c>
      <c r="J27" s="12">
        <f t="shared" si="1"/>
        <v>1</v>
      </c>
      <c r="K27" s="10">
        <f t="shared" si="2"/>
        <v>66</v>
      </c>
      <c r="L27" s="9"/>
      <c r="M27" s="9"/>
      <c r="N27" s="9"/>
      <c r="O27">
        <v>66</v>
      </c>
      <c r="P27">
        <v>66</v>
      </c>
      <c r="Q27">
        <v>66</v>
      </c>
      <c r="R27">
        <v>66</v>
      </c>
      <c r="S27">
        <v>66</v>
      </c>
      <c r="T27" s="3">
        <f t="shared" si="3"/>
        <v>28759.894747319999</v>
      </c>
      <c r="U27" s="3">
        <f t="shared" si="4"/>
        <v>28759.894747319999</v>
      </c>
      <c r="V27" s="3">
        <f t="shared" si="5"/>
        <v>28759.894747319999</v>
      </c>
      <c r="W27" s="3">
        <f t="shared" si="6"/>
        <v>28759.894747319999</v>
      </c>
      <c r="X27" s="3">
        <f t="shared" si="7"/>
        <v>28759.894747319999</v>
      </c>
      <c r="Y27" s="25">
        <f t="shared" si="8"/>
        <v>0</v>
      </c>
      <c r="AI27">
        <v>72</v>
      </c>
      <c r="AJ27">
        <v>6</v>
      </c>
      <c r="AK27">
        <f t="shared" si="9"/>
        <v>66</v>
      </c>
    </row>
    <row r="28" spans="1:37" x14ac:dyDescent="0.3">
      <c r="A28" s="13" t="s">
        <v>483</v>
      </c>
      <c r="B28" s="13" t="s">
        <v>468</v>
      </c>
      <c r="C28" s="13">
        <v>2</v>
      </c>
      <c r="D28" s="13">
        <v>2</v>
      </c>
      <c r="E28" s="14">
        <v>14043.186100000001</v>
      </c>
      <c r="F28" s="15">
        <f t="shared" si="0"/>
        <v>28086.372200000002</v>
      </c>
      <c r="G28" s="13" t="s">
        <v>484</v>
      </c>
      <c r="H28" s="13" t="s">
        <v>9</v>
      </c>
      <c r="I28" s="14">
        <v>0</v>
      </c>
      <c r="J28" s="16">
        <f t="shared" si="1"/>
        <v>0</v>
      </c>
      <c r="K28" s="14" t="e">
        <f t="shared" si="2"/>
        <v>#DIV/0!</v>
      </c>
      <c r="L28" s="13"/>
      <c r="M28" s="13"/>
      <c r="N28" s="13"/>
      <c r="O28">
        <v>2</v>
      </c>
      <c r="P28">
        <v>2</v>
      </c>
      <c r="Q28">
        <v>2</v>
      </c>
      <c r="R28">
        <v>2</v>
      </c>
      <c r="S28">
        <v>2</v>
      </c>
      <c r="T28" s="3">
        <f t="shared" si="3"/>
        <v>28086.372200000002</v>
      </c>
      <c r="U28" s="3">
        <f t="shared" si="4"/>
        <v>28086.372200000002</v>
      </c>
      <c r="V28" s="3">
        <f t="shared" si="5"/>
        <v>28086.372200000002</v>
      </c>
      <c r="W28" s="3">
        <f t="shared" si="6"/>
        <v>28086.372200000002</v>
      </c>
      <c r="X28" s="3">
        <f t="shared" si="7"/>
        <v>28086.372200000002</v>
      </c>
      <c r="Y28" s="25">
        <f t="shared" si="8"/>
        <v>0</v>
      </c>
      <c r="AI28">
        <v>2</v>
      </c>
      <c r="AJ28">
        <v>0</v>
      </c>
      <c r="AK28">
        <f t="shared" si="9"/>
        <v>2</v>
      </c>
    </row>
    <row r="29" spans="1:37" x14ac:dyDescent="0.3">
      <c r="A29" s="9" t="s">
        <v>227</v>
      </c>
      <c r="B29" s="9" t="s">
        <v>228</v>
      </c>
      <c r="C29" s="9">
        <f>476</f>
        <v>476</v>
      </c>
      <c r="D29" s="9">
        <v>251</v>
      </c>
      <c r="E29" s="10">
        <v>101.46203444</v>
      </c>
      <c r="F29" s="11">
        <f t="shared" si="0"/>
        <v>25466.97064444</v>
      </c>
      <c r="G29" s="9" t="s">
        <v>229</v>
      </c>
      <c r="H29" s="9" t="s">
        <v>9</v>
      </c>
      <c r="I29" s="10">
        <v>255</v>
      </c>
      <c r="J29" s="12">
        <f t="shared" si="1"/>
        <v>42.5</v>
      </c>
      <c r="K29" s="10">
        <f t="shared" si="2"/>
        <v>5.9058823529411768</v>
      </c>
      <c r="L29" s="27" t="s">
        <v>698</v>
      </c>
      <c r="M29" s="17">
        <v>46063</v>
      </c>
      <c r="N29" s="9" t="s">
        <v>680</v>
      </c>
      <c r="O29">
        <v>250</v>
      </c>
      <c r="P29">
        <v>248</v>
      </c>
      <c r="Q29">
        <v>247</v>
      </c>
      <c r="R29">
        <v>247</v>
      </c>
      <c r="S29">
        <v>151</v>
      </c>
      <c r="T29" s="3">
        <f t="shared" si="3"/>
        <v>25365.508610000001</v>
      </c>
      <c r="U29" s="3">
        <f t="shared" si="4"/>
        <v>25162.584541119999</v>
      </c>
      <c r="V29" s="3">
        <f t="shared" si="5"/>
        <v>25061.12250668</v>
      </c>
      <c r="W29" s="3">
        <f t="shared" si="6"/>
        <v>25061.12250668</v>
      </c>
      <c r="X29" s="3">
        <f t="shared" si="7"/>
        <v>15320.767200439999</v>
      </c>
      <c r="Y29" s="25">
        <f t="shared" si="8"/>
        <v>-10146.203444000001</v>
      </c>
      <c r="AI29">
        <v>376</v>
      </c>
      <c r="AJ29">
        <v>225</v>
      </c>
      <c r="AK29">
        <f t="shared" si="9"/>
        <v>151</v>
      </c>
    </row>
    <row r="30" spans="1:37" x14ac:dyDescent="0.3">
      <c r="A30" s="9" t="s">
        <v>575</v>
      </c>
      <c r="B30" s="9" t="s">
        <v>565</v>
      </c>
      <c r="C30" s="9">
        <f>867</f>
        <v>867</v>
      </c>
      <c r="D30" s="9">
        <v>217</v>
      </c>
      <c r="E30" s="10">
        <v>105.79868897999999</v>
      </c>
      <c r="F30" s="11">
        <f t="shared" si="0"/>
        <v>22958.315508659998</v>
      </c>
      <c r="G30" s="9" t="s">
        <v>576</v>
      </c>
      <c r="H30" s="9" t="s">
        <v>9</v>
      </c>
      <c r="I30" s="10">
        <v>733</v>
      </c>
      <c r="J30" s="12">
        <f t="shared" si="1"/>
        <v>122.16666666666667</v>
      </c>
      <c r="K30" s="10">
        <f t="shared" si="2"/>
        <v>1.7762619372442019</v>
      </c>
      <c r="L30" s="9"/>
      <c r="M30" s="9"/>
      <c r="N30" s="9"/>
      <c r="O30">
        <v>208</v>
      </c>
      <c r="P30">
        <v>208</v>
      </c>
      <c r="Q30">
        <v>183</v>
      </c>
      <c r="R30">
        <v>178</v>
      </c>
      <c r="S30">
        <v>176</v>
      </c>
      <c r="T30" s="3">
        <f t="shared" si="3"/>
        <v>22006.127307839997</v>
      </c>
      <c r="U30" s="3">
        <f t="shared" si="4"/>
        <v>22006.127307839997</v>
      </c>
      <c r="V30" s="3">
        <f t="shared" si="5"/>
        <v>19361.160083340001</v>
      </c>
      <c r="W30" s="3">
        <f t="shared" si="6"/>
        <v>18832.166638439998</v>
      </c>
      <c r="X30" s="3">
        <f t="shared" si="7"/>
        <v>18620.569260479999</v>
      </c>
      <c r="Y30" s="25">
        <f t="shared" si="8"/>
        <v>-4337.7462481799994</v>
      </c>
      <c r="AI30">
        <v>826</v>
      </c>
      <c r="AJ30">
        <v>650</v>
      </c>
      <c r="AK30">
        <f t="shared" si="9"/>
        <v>176</v>
      </c>
    </row>
    <row r="31" spans="1:37" x14ac:dyDescent="0.3">
      <c r="A31" s="13" t="s">
        <v>213</v>
      </c>
      <c r="B31" s="13" t="s">
        <v>183</v>
      </c>
      <c r="C31" s="13">
        <v>4</v>
      </c>
      <c r="D31" s="13">
        <v>4</v>
      </c>
      <c r="E31" s="14">
        <v>5553.3927999999996</v>
      </c>
      <c r="F31" s="15">
        <f t="shared" si="0"/>
        <v>22213.571199999998</v>
      </c>
      <c r="G31" s="13" t="s">
        <v>214</v>
      </c>
      <c r="H31" s="13" t="s">
        <v>9</v>
      </c>
      <c r="I31" s="14">
        <v>0</v>
      </c>
      <c r="J31" s="16">
        <f t="shared" si="1"/>
        <v>0</v>
      </c>
      <c r="K31" s="14" t="e">
        <f t="shared" si="2"/>
        <v>#DIV/0!</v>
      </c>
      <c r="L31" s="13"/>
      <c r="M31" s="13"/>
      <c r="N31" s="13"/>
      <c r="O31">
        <v>4</v>
      </c>
      <c r="P31">
        <v>4</v>
      </c>
      <c r="Q31">
        <v>4</v>
      </c>
      <c r="R31">
        <v>4</v>
      </c>
      <c r="S31">
        <v>4</v>
      </c>
      <c r="T31" s="3">
        <f t="shared" si="3"/>
        <v>22213.571199999998</v>
      </c>
      <c r="U31" s="3">
        <f t="shared" si="4"/>
        <v>22213.571199999998</v>
      </c>
      <c r="V31" s="3">
        <f t="shared" si="5"/>
        <v>22213.571199999998</v>
      </c>
      <c r="W31" s="3">
        <f t="shared" si="6"/>
        <v>22213.571199999998</v>
      </c>
      <c r="X31" s="3">
        <f t="shared" si="7"/>
        <v>22213.571199999998</v>
      </c>
      <c r="Y31" s="25">
        <f t="shared" si="8"/>
        <v>0</v>
      </c>
      <c r="AI31">
        <v>4</v>
      </c>
      <c r="AJ31">
        <v>0</v>
      </c>
      <c r="AK31">
        <f t="shared" si="9"/>
        <v>4</v>
      </c>
    </row>
    <row r="32" spans="1:37" x14ac:dyDescent="0.3">
      <c r="A32" s="9" t="s">
        <v>171</v>
      </c>
      <c r="B32" s="9" t="s">
        <v>165</v>
      </c>
      <c r="C32" s="9">
        <f>4</f>
        <v>4</v>
      </c>
      <c r="D32" s="9">
        <v>3</v>
      </c>
      <c r="E32" s="10">
        <v>7089.7687999999998</v>
      </c>
      <c r="F32" s="11">
        <f t="shared" si="0"/>
        <v>21269.306400000001</v>
      </c>
      <c r="G32" s="9" t="s">
        <v>172</v>
      </c>
      <c r="H32" s="9" t="s">
        <v>9</v>
      </c>
      <c r="I32" s="10">
        <v>1</v>
      </c>
      <c r="J32" s="12">
        <f t="shared" si="1"/>
        <v>0.16666666666666666</v>
      </c>
      <c r="K32" s="10">
        <f t="shared" si="2"/>
        <v>18</v>
      </c>
      <c r="L32" s="9"/>
      <c r="M32" s="9"/>
      <c r="N32" s="9"/>
      <c r="O32">
        <v>3</v>
      </c>
      <c r="P32">
        <v>3</v>
      </c>
      <c r="Q32">
        <v>3</v>
      </c>
      <c r="R32">
        <v>3</v>
      </c>
      <c r="S32">
        <v>3</v>
      </c>
      <c r="T32" s="3">
        <f t="shared" si="3"/>
        <v>21269.306400000001</v>
      </c>
      <c r="U32" s="3">
        <f t="shared" si="4"/>
        <v>21269.306400000001</v>
      </c>
      <c r="V32" s="3">
        <f t="shared" si="5"/>
        <v>21269.306400000001</v>
      </c>
      <c r="W32" s="3">
        <f t="shared" si="6"/>
        <v>21269.306400000001</v>
      </c>
      <c r="X32" s="3">
        <f t="shared" si="7"/>
        <v>21269.306400000001</v>
      </c>
      <c r="Y32" s="25">
        <f t="shared" si="8"/>
        <v>0</v>
      </c>
      <c r="AI32">
        <v>4</v>
      </c>
      <c r="AJ32">
        <v>1</v>
      </c>
      <c r="AK32">
        <f t="shared" si="9"/>
        <v>3</v>
      </c>
    </row>
    <row r="33" spans="1:37" x14ac:dyDescent="0.3">
      <c r="A33" s="9" t="s">
        <v>308</v>
      </c>
      <c r="B33" s="9" t="s">
        <v>274</v>
      </c>
      <c r="C33" s="9">
        <f>13033</f>
        <v>13033</v>
      </c>
      <c r="D33" s="9">
        <v>3533</v>
      </c>
      <c r="E33" s="10">
        <v>5.8869135300000002</v>
      </c>
      <c r="F33" s="11">
        <f t="shared" si="0"/>
        <v>20798.465501490002</v>
      </c>
      <c r="G33" s="9" t="s">
        <v>309</v>
      </c>
      <c r="H33" s="9" t="s">
        <v>9</v>
      </c>
      <c r="I33" s="10">
        <v>11082</v>
      </c>
      <c r="J33" s="12">
        <f t="shared" si="1"/>
        <v>1847</v>
      </c>
      <c r="K33" s="10">
        <f t="shared" si="2"/>
        <v>1.9128316188413643</v>
      </c>
      <c r="L33" s="27" t="s">
        <v>697</v>
      </c>
      <c r="M33" s="9"/>
      <c r="N33" s="9"/>
      <c r="O33">
        <v>3282</v>
      </c>
      <c r="P33">
        <v>2581</v>
      </c>
      <c r="Q33">
        <v>2581</v>
      </c>
      <c r="R33">
        <v>2081</v>
      </c>
      <c r="S33">
        <v>1981</v>
      </c>
      <c r="T33" s="3">
        <f t="shared" si="3"/>
        <v>19320.850205459999</v>
      </c>
      <c r="U33" s="3">
        <f t="shared" si="4"/>
        <v>15194.123820930001</v>
      </c>
      <c r="V33" s="3">
        <f t="shared" si="5"/>
        <v>15194.123820930001</v>
      </c>
      <c r="W33" s="3">
        <f t="shared" si="6"/>
        <v>12250.66705593</v>
      </c>
      <c r="X33" s="3">
        <f t="shared" si="7"/>
        <v>11661.97570293</v>
      </c>
      <c r="Y33" s="25">
        <f t="shared" si="8"/>
        <v>-9136.4897985600019</v>
      </c>
      <c r="AI33">
        <v>11481</v>
      </c>
      <c r="AJ33">
        <v>9500</v>
      </c>
      <c r="AK33">
        <f t="shared" si="9"/>
        <v>1981</v>
      </c>
    </row>
    <row r="34" spans="1:37" x14ac:dyDescent="0.3">
      <c r="A34" s="13" t="s">
        <v>197</v>
      </c>
      <c r="B34" s="13" t="s">
        <v>183</v>
      </c>
      <c r="C34" s="13">
        <v>5</v>
      </c>
      <c r="D34" s="13">
        <v>5</v>
      </c>
      <c r="E34" s="14">
        <v>3966.4323333299999</v>
      </c>
      <c r="F34" s="15">
        <f t="shared" ref="F34:F65" si="10">+D34*E34</f>
        <v>19832.161666649998</v>
      </c>
      <c r="G34" s="13" t="s">
        <v>198</v>
      </c>
      <c r="H34" s="13" t="s">
        <v>9</v>
      </c>
      <c r="I34" s="14">
        <v>1</v>
      </c>
      <c r="J34" s="16">
        <f t="shared" si="1"/>
        <v>0.16666666666666666</v>
      </c>
      <c r="K34" s="14">
        <f t="shared" si="2"/>
        <v>30</v>
      </c>
      <c r="L34" s="13"/>
      <c r="M34" s="13"/>
      <c r="N34" s="13"/>
      <c r="O34">
        <v>5</v>
      </c>
      <c r="P34">
        <v>5</v>
      </c>
      <c r="Q34">
        <v>5</v>
      </c>
      <c r="R34">
        <v>5</v>
      </c>
      <c r="S34">
        <v>5</v>
      </c>
      <c r="T34" s="3">
        <f t="shared" si="3"/>
        <v>19832.161666649998</v>
      </c>
      <c r="U34" s="3">
        <f t="shared" si="4"/>
        <v>19832.161666649998</v>
      </c>
      <c r="V34" s="3">
        <f t="shared" si="5"/>
        <v>19832.161666649998</v>
      </c>
      <c r="W34" s="3">
        <f t="shared" si="6"/>
        <v>19832.161666649998</v>
      </c>
      <c r="X34" s="3">
        <f t="shared" si="7"/>
        <v>19832.161666649998</v>
      </c>
      <c r="Y34" s="25">
        <f t="shared" si="8"/>
        <v>0</v>
      </c>
      <c r="AI34">
        <v>5</v>
      </c>
      <c r="AJ34">
        <v>0</v>
      </c>
      <c r="AK34">
        <f t="shared" si="9"/>
        <v>5</v>
      </c>
    </row>
    <row r="35" spans="1:37" x14ac:dyDescent="0.3">
      <c r="A35" s="9" t="s">
        <v>522</v>
      </c>
      <c r="B35" s="9" t="s">
        <v>468</v>
      </c>
      <c r="C35" s="9">
        <f>108</f>
        <v>108</v>
      </c>
      <c r="D35" s="9">
        <v>102</v>
      </c>
      <c r="E35" s="10">
        <v>190.42560803000001</v>
      </c>
      <c r="F35" s="11">
        <f t="shared" si="10"/>
        <v>19423.412019060001</v>
      </c>
      <c r="G35" s="9" t="s">
        <v>523</v>
      </c>
      <c r="H35" s="9" t="s">
        <v>9</v>
      </c>
      <c r="I35" s="10">
        <v>3</v>
      </c>
      <c r="J35" s="12">
        <f>+I35/2.6</f>
        <v>1.1538461538461537</v>
      </c>
      <c r="K35" s="10">
        <f t="shared" si="2"/>
        <v>88.4</v>
      </c>
      <c r="L35" s="9"/>
      <c r="M35" s="9"/>
      <c r="N35" s="9"/>
      <c r="O35">
        <v>101</v>
      </c>
      <c r="P35">
        <v>101</v>
      </c>
      <c r="Q35">
        <v>101</v>
      </c>
      <c r="R35">
        <v>101</v>
      </c>
      <c r="S35">
        <v>94</v>
      </c>
      <c r="T35" s="3">
        <f t="shared" si="3"/>
        <v>19232.98641103</v>
      </c>
      <c r="U35" s="3">
        <f t="shared" si="4"/>
        <v>19232.98641103</v>
      </c>
      <c r="V35" s="3">
        <f t="shared" si="5"/>
        <v>19232.98641103</v>
      </c>
      <c r="W35" s="3">
        <f t="shared" si="6"/>
        <v>19232.98641103</v>
      </c>
      <c r="X35" s="3">
        <f t="shared" si="7"/>
        <v>17900.007154819999</v>
      </c>
      <c r="Y35" s="25">
        <f t="shared" si="8"/>
        <v>-1523.4048642400012</v>
      </c>
      <c r="AI35">
        <v>100</v>
      </c>
      <c r="AJ35">
        <v>6</v>
      </c>
      <c r="AK35">
        <f t="shared" si="9"/>
        <v>94</v>
      </c>
    </row>
    <row r="36" spans="1:37" x14ac:dyDescent="0.3">
      <c r="A36" s="9" t="s">
        <v>79</v>
      </c>
      <c r="B36" s="9" t="s">
        <v>7</v>
      </c>
      <c r="C36" s="9">
        <f>95</f>
        <v>95</v>
      </c>
      <c r="D36" s="9">
        <v>43</v>
      </c>
      <c r="E36" s="10">
        <v>430.15521788000001</v>
      </c>
      <c r="F36" s="11">
        <f t="shared" si="10"/>
        <v>18496.674368840002</v>
      </c>
      <c r="G36" s="9" t="s">
        <v>80</v>
      </c>
      <c r="H36" s="9" t="s">
        <v>72</v>
      </c>
      <c r="I36" s="10">
        <v>51</v>
      </c>
      <c r="J36" s="12">
        <f>+I36/5</f>
        <v>10.199999999999999</v>
      </c>
      <c r="K36" s="10">
        <f t="shared" si="2"/>
        <v>4.215686274509804</v>
      </c>
      <c r="L36" s="9"/>
      <c r="M36" s="9"/>
      <c r="N36" s="9"/>
      <c r="O36">
        <v>38</v>
      </c>
      <c r="P36">
        <v>-5</v>
      </c>
      <c r="Q36">
        <v>-15</v>
      </c>
      <c r="R36">
        <v>-19</v>
      </c>
      <c r="S36">
        <v>-28</v>
      </c>
      <c r="T36" s="3">
        <f t="shared" si="3"/>
        <v>16345.89827944</v>
      </c>
      <c r="U36" s="3">
        <f t="shared" si="4"/>
        <v>-2150.7760894000003</v>
      </c>
      <c r="V36" s="3">
        <f t="shared" si="5"/>
        <v>-6452.3282681999999</v>
      </c>
      <c r="W36" s="3">
        <f t="shared" si="6"/>
        <v>-8172.9491397199999</v>
      </c>
      <c r="X36" s="3">
        <f t="shared" si="7"/>
        <v>-12044.346100639999</v>
      </c>
      <c r="Y36" s="25">
        <f t="shared" si="8"/>
        <v>-30541.020469480001</v>
      </c>
      <c r="AI36">
        <v>24</v>
      </c>
      <c r="AJ36">
        <v>52</v>
      </c>
      <c r="AK36">
        <f t="shared" si="9"/>
        <v>-28</v>
      </c>
    </row>
    <row r="37" spans="1:37" x14ac:dyDescent="0.3">
      <c r="A37" s="13" t="s">
        <v>425</v>
      </c>
      <c r="B37" s="13" t="s">
        <v>415</v>
      </c>
      <c r="C37" s="13">
        <v>1</v>
      </c>
      <c r="D37" s="13">
        <v>1</v>
      </c>
      <c r="E37" s="14">
        <v>17630.601500000001</v>
      </c>
      <c r="F37" s="15">
        <f t="shared" si="10"/>
        <v>17630.601500000001</v>
      </c>
      <c r="G37" s="13" t="s">
        <v>426</v>
      </c>
      <c r="H37" s="13" t="s">
        <v>9</v>
      </c>
      <c r="I37" s="14">
        <v>0</v>
      </c>
      <c r="J37" s="16">
        <f t="shared" ref="J37:J48" si="11">+I37/6</f>
        <v>0</v>
      </c>
      <c r="K37" s="14" t="e">
        <f t="shared" si="2"/>
        <v>#DIV/0!</v>
      </c>
      <c r="L37" s="13"/>
      <c r="M37" s="13"/>
      <c r="N37" s="13"/>
      <c r="O37">
        <v>1</v>
      </c>
      <c r="P37">
        <v>1</v>
      </c>
      <c r="Q37">
        <v>1</v>
      </c>
      <c r="R37">
        <v>1</v>
      </c>
      <c r="S37">
        <v>1</v>
      </c>
      <c r="T37" s="3">
        <f t="shared" si="3"/>
        <v>17630.601500000001</v>
      </c>
      <c r="U37" s="3">
        <f t="shared" si="4"/>
        <v>17630.601500000001</v>
      </c>
      <c r="V37" s="3">
        <f t="shared" si="5"/>
        <v>17630.601500000001</v>
      </c>
      <c r="W37" s="3">
        <f t="shared" si="6"/>
        <v>17630.601500000001</v>
      </c>
      <c r="X37" s="3">
        <f t="shared" si="7"/>
        <v>17630.601500000001</v>
      </c>
      <c r="Y37" s="25">
        <f t="shared" si="8"/>
        <v>0</v>
      </c>
      <c r="AI37">
        <v>1</v>
      </c>
      <c r="AJ37">
        <v>0</v>
      </c>
      <c r="AK37">
        <f t="shared" si="9"/>
        <v>1</v>
      </c>
    </row>
    <row r="38" spans="1:37" x14ac:dyDescent="0.3">
      <c r="A38" s="13" t="s">
        <v>219</v>
      </c>
      <c r="B38" s="13" t="s">
        <v>183</v>
      </c>
      <c r="C38" s="13">
        <v>1</v>
      </c>
      <c r="D38" s="13">
        <v>1</v>
      </c>
      <c r="E38" s="14">
        <v>17139.599999999999</v>
      </c>
      <c r="F38" s="15">
        <f t="shared" si="10"/>
        <v>17139.599999999999</v>
      </c>
      <c r="G38" s="13" t="s">
        <v>220</v>
      </c>
      <c r="H38" s="13" t="s">
        <v>9</v>
      </c>
      <c r="I38" s="14">
        <v>0</v>
      </c>
      <c r="J38" s="16">
        <f t="shared" si="11"/>
        <v>0</v>
      </c>
      <c r="K38" s="14" t="e">
        <f t="shared" si="2"/>
        <v>#DIV/0!</v>
      </c>
      <c r="L38" s="13"/>
      <c r="M38" s="13"/>
      <c r="N38" s="13"/>
      <c r="O38">
        <v>1</v>
      </c>
      <c r="P38">
        <v>1</v>
      </c>
      <c r="Q38">
        <v>1</v>
      </c>
      <c r="R38">
        <v>1</v>
      </c>
      <c r="S38">
        <v>1</v>
      </c>
      <c r="T38" s="3">
        <f t="shared" si="3"/>
        <v>17139.599999999999</v>
      </c>
      <c r="U38" s="3">
        <f t="shared" si="4"/>
        <v>17139.599999999999</v>
      </c>
      <c r="V38" s="3">
        <f t="shared" si="5"/>
        <v>17139.599999999999</v>
      </c>
      <c r="W38" s="3">
        <f t="shared" si="6"/>
        <v>17139.599999999999</v>
      </c>
      <c r="X38" s="3">
        <f t="shared" si="7"/>
        <v>17139.599999999999</v>
      </c>
      <c r="Y38" s="25">
        <f t="shared" si="8"/>
        <v>0</v>
      </c>
      <c r="AI38">
        <v>1</v>
      </c>
      <c r="AJ38">
        <v>0</v>
      </c>
      <c r="AK38">
        <f t="shared" si="9"/>
        <v>1</v>
      </c>
    </row>
    <row r="39" spans="1:37" x14ac:dyDescent="0.3">
      <c r="A39" s="9" t="s">
        <v>81</v>
      </c>
      <c r="B39" s="9" t="s">
        <v>7</v>
      </c>
      <c r="C39" s="9">
        <f>74</f>
        <v>74</v>
      </c>
      <c r="D39" s="9">
        <v>39</v>
      </c>
      <c r="E39" s="10">
        <v>429.69835705000003</v>
      </c>
      <c r="F39" s="11">
        <f t="shared" si="10"/>
        <v>16758.23592495</v>
      </c>
      <c r="G39" s="9" t="s">
        <v>82</v>
      </c>
      <c r="H39" s="9" t="s">
        <v>9</v>
      </c>
      <c r="I39" s="10">
        <v>40</v>
      </c>
      <c r="J39" s="12">
        <f t="shared" si="11"/>
        <v>6.666666666666667</v>
      </c>
      <c r="K39" s="10">
        <f t="shared" si="2"/>
        <v>5.85</v>
      </c>
      <c r="L39" s="9"/>
      <c r="M39" s="9"/>
      <c r="N39" s="9"/>
      <c r="O39">
        <v>39</v>
      </c>
      <c r="P39">
        <v>39</v>
      </c>
      <c r="Q39">
        <v>39</v>
      </c>
      <c r="R39">
        <v>39</v>
      </c>
      <c r="S39">
        <v>38</v>
      </c>
      <c r="T39" s="3">
        <f t="shared" si="3"/>
        <v>16758.23592495</v>
      </c>
      <c r="U39" s="3">
        <f t="shared" si="4"/>
        <v>16758.23592495</v>
      </c>
      <c r="V39" s="3">
        <f t="shared" si="5"/>
        <v>16758.23592495</v>
      </c>
      <c r="W39" s="3">
        <f t="shared" si="6"/>
        <v>16758.23592495</v>
      </c>
      <c r="X39" s="3">
        <f t="shared" si="7"/>
        <v>16328.537567900001</v>
      </c>
      <c r="Y39" s="25">
        <f t="shared" si="8"/>
        <v>-429.69835704999969</v>
      </c>
      <c r="AI39">
        <v>73</v>
      </c>
      <c r="AJ39">
        <v>35</v>
      </c>
      <c r="AK39">
        <f t="shared" si="9"/>
        <v>38</v>
      </c>
    </row>
    <row r="40" spans="1:37" x14ac:dyDescent="0.3">
      <c r="A40" s="9" t="s">
        <v>445</v>
      </c>
      <c r="B40" s="9" t="s">
        <v>415</v>
      </c>
      <c r="C40" s="9">
        <f>7</f>
        <v>7</v>
      </c>
      <c r="D40" s="9">
        <v>3</v>
      </c>
      <c r="E40" s="10">
        <v>5480.6867389199997</v>
      </c>
      <c r="F40" s="11">
        <f t="shared" si="10"/>
        <v>16442.060216760001</v>
      </c>
      <c r="G40" s="9" t="s">
        <v>446</v>
      </c>
      <c r="H40" s="9" t="s">
        <v>9</v>
      </c>
      <c r="I40" s="10">
        <v>4</v>
      </c>
      <c r="J40" s="12">
        <f t="shared" si="11"/>
        <v>0.66666666666666663</v>
      </c>
      <c r="K40" s="10">
        <f t="shared" si="2"/>
        <v>4.5</v>
      </c>
      <c r="L40" s="9"/>
      <c r="M40" s="17">
        <v>46042</v>
      </c>
      <c r="N40" s="9" t="s">
        <v>677</v>
      </c>
      <c r="O40">
        <v>3</v>
      </c>
      <c r="P40">
        <v>3</v>
      </c>
      <c r="Q40">
        <v>6</v>
      </c>
      <c r="R40">
        <v>6</v>
      </c>
      <c r="S40">
        <v>6</v>
      </c>
      <c r="T40" s="3">
        <f t="shared" si="3"/>
        <v>16442.060216760001</v>
      </c>
      <c r="U40" s="3">
        <f t="shared" si="4"/>
        <v>16442.060216760001</v>
      </c>
      <c r="V40" s="3">
        <f t="shared" si="5"/>
        <v>32884.120433520002</v>
      </c>
      <c r="W40" s="3">
        <f t="shared" si="6"/>
        <v>32884.120433520002</v>
      </c>
      <c r="X40" s="3">
        <f t="shared" si="7"/>
        <v>32884.120433520002</v>
      </c>
      <c r="Y40" s="25">
        <f t="shared" si="8"/>
        <v>16442.060216760001</v>
      </c>
      <c r="AI40">
        <v>10</v>
      </c>
      <c r="AJ40">
        <v>4</v>
      </c>
      <c r="AK40">
        <f t="shared" si="9"/>
        <v>6</v>
      </c>
    </row>
    <row r="41" spans="1:37" x14ac:dyDescent="0.3">
      <c r="A41" s="9" t="s">
        <v>234</v>
      </c>
      <c r="B41" s="9" t="s">
        <v>228</v>
      </c>
      <c r="C41" s="9">
        <f>715</f>
        <v>715</v>
      </c>
      <c r="D41" s="9">
        <v>335</v>
      </c>
      <c r="E41" s="10">
        <v>48.072922159999997</v>
      </c>
      <c r="F41" s="11">
        <f t="shared" si="10"/>
        <v>16104.428923599999</v>
      </c>
      <c r="G41" s="9" t="s">
        <v>235</v>
      </c>
      <c r="H41" s="9" t="s">
        <v>9</v>
      </c>
      <c r="I41" s="10">
        <v>413</v>
      </c>
      <c r="J41" s="12">
        <f t="shared" si="11"/>
        <v>68.833333333333329</v>
      </c>
      <c r="K41" s="10">
        <f t="shared" si="2"/>
        <v>4.8668280871670708</v>
      </c>
      <c r="L41" s="27" t="s">
        <v>699</v>
      </c>
      <c r="M41" s="9"/>
      <c r="N41" s="9"/>
      <c r="O41">
        <v>327</v>
      </c>
      <c r="P41">
        <v>321</v>
      </c>
      <c r="Q41">
        <v>316</v>
      </c>
      <c r="R41">
        <v>312</v>
      </c>
      <c r="S41">
        <v>189</v>
      </c>
      <c r="T41" s="3">
        <f t="shared" si="3"/>
        <v>15719.845546319999</v>
      </c>
      <c r="U41" s="3">
        <f t="shared" si="4"/>
        <v>15431.40801336</v>
      </c>
      <c r="V41" s="3">
        <f t="shared" si="5"/>
        <v>15191.043402559999</v>
      </c>
      <c r="W41" s="3">
        <f t="shared" si="6"/>
        <v>14998.751713919999</v>
      </c>
      <c r="X41" s="3">
        <f t="shared" si="7"/>
        <v>9085.7822882399996</v>
      </c>
      <c r="Y41" s="25">
        <f t="shared" si="8"/>
        <v>-7018.646635359999</v>
      </c>
      <c r="AI41">
        <v>569</v>
      </c>
      <c r="AJ41">
        <v>380</v>
      </c>
      <c r="AK41">
        <f t="shared" si="9"/>
        <v>189</v>
      </c>
    </row>
    <row r="42" spans="1:37" x14ac:dyDescent="0.3">
      <c r="A42" s="13" t="s">
        <v>548</v>
      </c>
      <c r="B42" s="13" t="s">
        <v>468</v>
      </c>
      <c r="C42" s="13">
        <v>1</v>
      </c>
      <c r="D42" s="13">
        <v>1</v>
      </c>
      <c r="E42" s="14">
        <v>15168.429</v>
      </c>
      <c r="F42" s="15">
        <f t="shared" si="10"/>
        <v>15168.429</v>
      </c>
      <c r="G42" s="13" t="s">
        <v>549</v>
      </c>
      <c r="H42" s="13" t="s">
        <v>9</v>
      </c>
      <c r="I42" s="14">
        <v>0</v>
      </c>
      <c r="J42" s="16">
        <f t="shared" si="11"/>
        <v>0</v>
      </c>
      <c r="K42" s="14" t="e">
        <f t="shared" si="2"/>
        <v>#DIV/0!</v>
      </c>
      <c r="L42" s="13"/>
      <c r="M42" s="13"/>
      <c r="N42" s="13"/>
      <c r="O42">
        <v>1</v>
      </c>
      <c r="P42">
        <v>1</v>
      </c>
      <c r="Q42">
        <v>1</v>
      </c>
      <c r="R42">
        <v>1</v>
      </c>
      <c r="S42">
        <v>1</v>
      </c>
      <c r="T42" s="3">
        <f t="shared" si="3"/>
        <v>15168.429</v>
      </c>
      <c r="U42" s="3">
        <f t="shared" si="4"/>
        <v>15168.429</v>
      </c>
      <c r="V42" s="3">
        <f t="shared" si="5"/>
        <v>15168.429</v>
      </c>
      <c r="W42" s="3">
        <f t="shared" si="6"/>
        <v>15168.429</v>
      </c>
      <c r="X42" s="3">
        <f t="shared" si="7"/>
        <v>15168.429</v>
      </c>
      <c r="Y42" s="25">
        <f t="shared" si="8"/>
        <v>0</v>
      </c>
      <c r="AI42">
        <v>1</v>
      </c>
      <c r="AJ42">
        <v>0</v>
      </c>
      <c r="AK42">
        <f t="shared" si="9"/>
        <v>1</v>
      </c>
    </row>
    <row r="43" spans="1:37" x14ac:dyDescent="0.3">
      <c r="A43" s="9" t="s">
        <v>251</v>
      </c>
      <c r="B43" s="9" t="s">
        <v>239</v>
      </c>
      <c r="C43" s="9">
        <v>17</v>
      </c>
      <c r="D43" s="9">
        <v>17</v>
      </c>
      <c r="E43" s="10">
        <v>840.32899091000002</v>
      </c>
      <c r="F43" s="11">
        <f t="shared" si="10"/>
        <v>14285.592845470001</v>
      </c>
      <c r="G43" s="9" t="s">
        <v>252</v>
      </c>
      <c r="H43" s="9" t="s">
        <v>9</v>
      </c>
      <c r="I43" s="10">
        <v>0</v>
      </c>
      <c r="J43" s="12">
        <f t="shared" si="11"/>
        <v>0</v>
      </c>
      <c r="K43" s="10" t="e">
        <f t="shared" si="2"/>
        <v>#DIV/0!</v>
      </c>
      <c r="L43" s="9"/>
      <c r="M43" s="9"/>
      <c r="N43" s="9"/>
      <c r="O43">
        <v>17</v>
      </c>
      <c r="P43">
        <v>17</v>
      </c>
      <c r="Q43">
        <v>17</v>
      </c>
      <c r="R43">
        <v>17</v>
      </c>
      <c r="S43">
        <v>17</v>
      </c>
      <c r="T43" s="3">
        <f t="shared" si="3"/>
        <v>14285.592845470001</v>
      </c>
      <c r="U43" s="3">
        <f t="shared" si="4"/>
        <v>14285.592845470001</v>
      </c>
      <c r="V43" s="3">
        <f t="shared" si="5"/>
        <v>14285.592845470001</v>
      </c>
      <c r="W43" s="3">
        <f t="shared" si="6"/>
        <v>14285.592845470001</v>
      </c>
      <c r="X43" s="3">
        <f t="shared" si="7"/>
        <v>14285.592845470001</v>
      </c>
      <c r="Y43" s="25">
        <f t="shared" si="8"/>
        <v>0</v>
      </c>
      <c r="AI43">
        <v>17</v>
      </c>
      <c r="AJ43">
        <v>0</v>
      </c>
      <c r="AK43">
        <f t="shared" si="9"/>
        <v>17</v>
      </c>
    </row>
    <row r="44" spans="1:37" x14ac:dyDescent="0.3">
      <c r="A44" s="9" t="s">
        <v>223</v>
      </c>
      <c r="B44" s="9" t="s">
        <v>183</v>
      </c>
      <c r="C44" s="9">
        <f>4</f>
        <v>4</v>
      </c>
      <c r="D44" s="9">
        <v>2</v>
      </c>
      <c r="E44" s="10">
        <v>6568.9380000000001</v>
      </c>
      <c r="F44" s="11">
        <f t="shared" si="10"/>
        <v>13137.876</v>
      </c>
      <c r="G44" s="9" t="s">
        <v>224</v>
      </c>
      <c r="H44" s="9" t="s">
        <v>9</v>
      </c>
      <c r="I44" s="10">
        <v>2</v>
      </c>
      <c r="J44" s="12">
        <f t="shared" si="11"/>
        <v>0.33333333333333331</v>
      </c>
      <c r="K44" s="10">
        <f t="shared" si="2"/>
        <v>6</v>
      </c>
      <c r="L44" s="9"/>
      <c r="M44" s="9"/>
      <c r="N44" s="9"/>
      <c r="O44">
        <v>2</v>
      </c>
      <c r="P44">
        <v>2</v>
      </c>
      <c r="Q44">
        <v>2</v>
      </c>
      <c r="R44">
        <v>2</v>
      </c>
      <c r="S44">
        <v>2</v>
      </c>
      <c r="T44" s="3">
        <f t="shared" si="3"/>
        <v>13137.876</v>
      </c>
      <c r="U44" s="3">
        <f t="shared" si="4"/>
        <v>13137.876</v>
      </c>
      <c r="V44" s="3">
        <f t="shared" si="5"/>
        <v>13137.876</v>
      </c>
      <c r="W44" s="3">
        <f t="shared" si="6"/>
        <v>13137.876</v>
      </c>
      <c r="X44" s="3">
        <f t="shared" si="7"/>
        <v>13137.876</v>
      </c>
      <c r="Y44" s="25">
        <f t="shared" si="8"/>
        <v>0</v>
      </c>
      <c r="AI44">
        <v>4</v>
      </c>
      <c r="AJ44">
        <v>2</v>
      </c>
      <c r="AK44">
        <f t="shared" si="9"/>
        <v>2</v>
      </c>
    </row>
    <row r="45" spans="1:37" x14ac:dyDescent="0.3">
      <c r="A45" s="9" t="s">
        <v>476</v>
      </c>
      <c r="B45" s="9" t="s">
        <v>468</v>
      </c>
      <c r="C45" s="9">
        <v>125</v>
      </c>
      <c r="D45" s="9">
        <v>125</v>
      </c>
      <c r="E45" s="10">
        <v>100.621089</v>
      </c>
      <c r="F45" s="11">
        <f t="shared" si="10"/>
        <v>12577.636124999999</v>
      </c>
      <c r="G45" s="9" t="s">
        <v>477</v>
      </c>
      <c r="H45" s="9" t="s">
        <v>9</v>
      </c>
      <c r="I45" s="10">
        <v>3</v>
      </c>
      <c r="J45" s="12">
        <f t="shared" si="11"/>
        <v>0.5</v>
      </c>
      <c r="K45" s="10">
        <f t="shared" si="2"/>
        <v>250</v>
      </c>
      <c r="L45" s="9"/>
      <c r="M45" s="9"/>
      <c r="N45" s="9"/>
      <c r="O45">
        <v>125</v>
      </c>
      <c r="P45">
        <v>125</v>
      </c>
      <c r="Q45">
        <v>125</v>
      </c>
      <c r="R45">
        <v>125</v>
      </c>
      <c r="S45">
        <v>125</v>
      </c>
      <c r="T45" s="3">
        <f t="shared" si="3"/>
        <v>12577.636124999999</v>
      </c>
      <c r="U45" s="3">
        <f t="shared" si="4"/>
        <v>12577.636124999999</v>
      </c>
      <c r="V45" s="3">
        <f t="shared" si="5"/>
        <v>12577.636124999999</v>
      </c>
      <c r="W45" s="3">
        <f t="shared" si="6"/>
        <v>12577.636124999999</v>
      </c>
      <c r="X45" s="3">
        <f t="shared" si="7"/>
        <v>12577.636124999999</v>
      </c>
      <c r="Y45" s="25">
        <f t="shared" si="8"/>
        <v>0</v>
      </c>
      <c r="AI45">
        <v>125</v>
      </c>
      <c r="AJ45">
        <v>0</v>
      </c>
      <c r="AK45">
        <f t="shared" si="9"/>
        <v>125</v>
      </c>
    </row>
    <row r="46" spans="1:37" x14ac:dyDescent="0.3">
      <c r="A46" s="9" t="s">
        <v>599</v>
      </c>
      <c r="B46" s="9" t="s">
        <v>565</v>
      </c>
      <c r="C46" s="9">
        <f>17</f>
        <v>17</v>
      </c>
      <c r="D46" s="9">
        <v>5</v>
      </c>
      <c r="E46" s="10">
        <v>2512.1152000000002</v>
      </c>
      <c r="F46" s="11">
        <f t="shared" si="10"/>
        <v>12560.576000000001</v>
      </c>
      <c r="G46" s="9" t="s">
        <v>600</v>
      </c>
      <c r="H46" s="9" t="s">
        <v>9</v>
      </c>
      <c r="I46" s="10">
        <v>13</v>
      </c>
      <c r="J46" s="12">
        <f t="shared" si="11"/>
        <v>2.1666666666666665</v>
      </c>
      <c r="K46" s="10">
        <f t="shared" si="2"/>
        <v>2.3076923076923079</v>
      </c>
      <c r="L46" s="9"/>
      <c r="M46" s="9"/>
      <c r="N46" s="9"/>
      <c r="O46">
        <v>5</v>
      </c>
      <c r="P46">
        <v>2</v>
      </c>
      <c r="Q46">
        <v>2</v>
      </c>
      <c r="R46">
        <v>2</v>
      </c>
      <c r="S46">
        <v>1</v>
      </c>
      <c r="T46" s="3">
        <f t="shared" si="3"/>
        <v>12560.576000000001</v>
      </c>
      <c r="U46" s="3">
        <f t="shared" si="4"/>
        <v>5024.2304000000004</v>
      </c>
      <c r="V46" s="3">
        <f t="shared" si="5"/>
        <v>5024.2304000000004</v>
      </c>
      <c r="W46" s="3">
        <f t="shared" si="6"/>
        <v>5024.2304000000004</v>
      </c>
      <c r="X46" s="3">
        <f t="shared" si="7"/>
        <v>2512.1152000000002</v>
      </c>
      <c r="Y46" s="25">
        <f t="shared" si="8"/>
        <v>-10048.460800000001</v>
      </c>
      <c r="AI46">
        <v>13</v>
      </c>
      <c r="AJ46">
        <v>12</v>
      </c>
      <c r="AK46">
        <f t="shared" si="9"/>
        <v>1</v>
      </c>
    </row>
    <row r="47" spans="1:37" x14ac:dyDescent="0.3">
      <c r="A47" s="9" t="s">
        <v>263</v>
      </c>
      <c r="B47" s="9" t="s">
        <v>239</v>
      </c>
      <c r="C47" s="9">
        <v>1</v>
      </c>
      <c r="D47" s="9">
        <v>1</v>
      </c>
      <c r="E47" s="10">
        <v>12404.296</v>
      </c>
      <c r="F47" s="11">
        <f t="shared" si="10"/>
        <v>12404.296</v>
      </c>
      <c r="G47" s="9" t="s">
        <v>264</v>
      </c>
      <c r="H47" s="9" t="s">
        <v>9</v>
      </c>
      <c r="I47" s="10">
        <v>22</v>
      </c>
      <c r="J47" s="12">
        <f t="shared" si="11"/>
        <v>3.6666666666666665</v>
      </c>
      <c r="K47" s="10">
        <f t="shared" si="2"/>
        <v>0.27272727272727276</v>
      </c>
      <c r="L47" s="9"/>
      <c r="M47" s="9"/>
      <c r="N47" s="9"/>
      <c r="O47">
        <v>1</v>
      </c>
      <c r="P47">
        <v>1</v>
      </c>
      <c r="Q47">
        <v>1</v>
      </c>
      <c r="R47">
        <v>1</v>
      </c>
      <c r="S47">
        <v>1</v>
      </c>
      <c r="T47" s="3">
        <f t="shared" si="3"/>
        <v>12404.296</v>
      </c>
      <c r="U47" s="3">
        <f t="shared" si="4"/>
        <v>12404.296</v>
      </c>
      <c r="V47" s="3">
        <f t="shared" si="5"/>
        <v>12404.296</v>
      </c>
      <c r="W47" s="3">
        <f t="shared" si="6"/>
        <v>12404.296</v>
      </c>
      <c r="X47" s="3">
        <f t="shared" si="7"/>
        <v>12404.296</v>
      </c>
      <c r="Y47" s="25">
        <f t="shared" si="8"/>
        <v>0</v>
      </c>
      <c r="AI47">
        <v>1</v>
      </c>
      <c r="AJ47">
        <v>0</v>
      </c>
      <c r="AK47">
        <f t="shared" si="9"/>
        <v>1</v>
      </c>
    </row>
    <row r="48" spans="1:37" x14ac:dyDescent="0.3">
      <c r="A48" s="9" t="s">
        <v>209</v>
      </c>
      <c r="B48" s="9" t="s">
        <v>183</v>
      </c>
      <c r="C48" s="9">
        <f>12</f>
        <v>12</v>
      </c>
      <c r="D48" s="9">
        <v>5</v>
      </c>
      <c r="E48" s="10">
        <v>2459.1465499999999</v>
      </c>
      <c r="F48" s="11">
        <f t="shared" si="10"/>
        <v>12295.732749999999</v>
      </c>
      <c r="G48" s="9" t="s">
        <v>210</v>
      </c>
      <c r="H48" s="9" t="s">
        <v>9</v>
      </c>
      <c r="I48" s="10">
        <v>7</v>
      </c>
      <c r="J48" s="12">
        <f t="shared" si="11"/>
        <v>1.1666666666666667</v>
      </c>
      <c r="K48" s="10">
        <f t="shared" si="2"/>
        <v>4.2857142857142856</v>
      </c>
      <c r="L48" s="9"/>
      <c r="M48" s="9"/>
      <c r="N48" s="9"/>
      <c r="O48">
        <v>5</v>
      </c>
      <c r="P48">
        <v>5</v>
      </c>
      <c r="Q48">
        <v>5</v>
      </c>
      <c r="R48">
        <v>5</v>
      </c>
      <c r="S48">
        <v>5</v>
      </c>
      <c r="T48" s="3">
        <f t="shared" si="3"/>
        <v>12295.732749999999</v>
      </c>
      <c r="U48" s="3">
        <f t="shared" si="4"/>
        <v>12295.732749999999</v>
      </c>
      <c r="V48" s="3">
        <f t="shared" si="5"/>
        <v>12295.732749999999</v>
      </c>
      <c r="W48" s="3">
        <f t="shared" si="6"/>
        <v>12295.732749999999</v>
      </c>
      <c r="X48" s="3">
        <f t="shared" si="7"/>
        <v>12295.732749999999</v>
      </c>
      <c r="Y48" s="25">
        <f t="shared" si="8"/>
        <v>0</v>
      </c>
      <c r="AI48">
        <v>12</v>
      </c>
      <c r="AJ48">
        <v>7</v>
      </c>
      <c r="AK48">
        <f t="shared" si="9"/>
        <v>5</v>
      </c>
    </row>
    <row r="49" spans="1:39" x14ac:dyDescent="0.3">
      <c r="A49" s="9" t="s">
        <v>328</v>
      </c>
      <c r="B49" s="9" t="s">
        <v>274</v>
      </c>
      <c r="C49" s="9">
        <f>2415</f>
        <v>2415</v>
      </c>
      <c r="D49" s="9">
        <v>1515</v>
      </c>
      <c r="E49" s="10">
        <v>7.8286355700000003</v>
      </c>
      <c r="F49" s="11">
        <f t="shared" si="10"/>
        <v>11860.382888550001</v>
      </c>
      <c r="G49" s="9" t="s">
        <v>329</v>
      </c>
      <c r="H49" s="9" t="s">
        <v>9</v>
      </c>
      <c r="I49" s="10">
        <v>915</v>
      </c>
      <c r="J49" s="12">
        <f>+I49/5.2</f>
        <v>175.96153846153845</v>
      </c>
      <c r="K49" s="10">
        <f t="shared" si="2"/>
        <v>8.6098360655737718</v>
      </c>
      <c r="L49" s="27" t="s">
        <v>698</v>
      </c>
      <c r="M49" s="17">
        <v>46063</v>
      </c>
      <c r="N49" s="9" t="s">
        <v>681</v>
      </c>
      <c r="O49">
        <v>1515</v>
      </c>
      <c r="P49">
        <v>1515</v>
      </c>
      <c r="Q49">
        <v>1515</v>
      </c>
      <c r="R49">
        <v>1465</v>
      </c>
      <c r="S49">
        <v>1465</v>
      </c>
      <c r="T49" s="3">
        <f t="shared" si="3"/>
        <v>11860.382888550001</v>
      </c>
      <c r="U49" s="3">
        <f t="shared" si="4"/>
        <v>11860.382888550001</v>
      </c>
      <c r="V49" s="3">
        <f t="shared" si="5"/>
        <v>11860.382888550001</v>
      </c>
      <c r="W49" s="3">
        <f t="shared" si="6"/>
        <v>11468.95111005</v>
      </c>
      <c r="X49" s="3">
        <f t="shared" si="7"/>
        <v>11468.95111005</v>
      </c>
      <c r="Y49" s="25">
        <f t="shared" si="8"/>
        <v>-391.43177850000029</v>
      </c>
      <c r="AI49">
        <v>2365</v>
      </c>
      <c r="AJ49">
        <v>900</v>
      </c>
      <c r="AK49">
        <f t="shared" si="9"/>
        <v>1465</v>
      </c>
    </row>
    <row r="50" spans="1:39" x14ac:dyDescent="0.3">
      <c r="A50" s="9" t="s">
        <v>16</v>
      </c>
      <c r="B50" s="9" t="s">
        <v>7</v>
      </c>
      <c r="C50" s="9">
        <f>5+5</f>
        <v>10</v>
      </c>
      <c r="D50" s="9">
        <v>5</v>
      </c>
      <c r="E50" s="10">
        <v>2355.4022222200001</v>
      </c>
      <c r="F50" s="11">
        <f t="shared" si="10"/>
        <v>11777.011111100001</v>
      </c>
      <c r="G50" s="9" t="s">
        <v>17</v>
      </c>
      <c r="H50" s="9" t="s">
        <v>9</v>
      </c>
      <c r="I50" s="10">
        <v>5</v>
      </c>
      <c r="J50" s="12">
        <f t="shared" ref="J50:J81" si="12">+I50/6</f>
        <v>0.83333333333333337</v>
      </c>
      <c r="K50" s="10">
        <f t="shared" si="2"/>
        <v>6</v>
      </c>
      <c r="L50" s="9"/>
      <c r="M50" s="9"/>
      <c r="N50" s="9"/>
      <c r="O50">
        <v>5</v>
      </c>
      <c r="P50">
        <v>5</v>
      </c>
      <c r="Q50">
        <v>5</v>
      </c>
      <c r="R50">
        <v>5</v>
      </c>
      <c r="S50">
        <v>5</v>
      </c>
      <c r="T50" s="3">
        <f t="shared" si="3"/>
        <v>11777.011111100001</v>
      </c>
      <c r="U50" s="3">
        <f t="shared" si="4"/>
        <v>11777.011111100001</v>
      </c>
      <c r="V50" s="3">
        <f t="shared" si="5"/>
        <v>11777.011111100001</v>
      </c>
      <c r="W50" s="3">
        <f t="shared" si="6"/>
        <v>11777.011111100001</v>
      </c>
      <c r="X50" s="3">
        <f t="shared" si="7"/>
        <v>11777.011111100001</v>
      </c>
      <c r="Y50" s="25">
        <f t="shared" si="8"/>
        <v>0</v>
      </c>
      <c r="AI50">
        <f>5+5</f>
        <v>10</v>
      </c>
      <c r="AJ50">
        <v>5</v>
      </c>
      <c r="AK50">
        <f t="shared" si="9"/>
        <v>5</v>
      </c>
      <c r="AM50">
        <v>5</v>
      </c>
    </row>
    <row r="51" spans="1:39" x14ac:dyDescent="0.3">
      <c r="A51" s="9" t="s">
        <v>474</v>
      </c>
      <c r="B51" s="9" t="s">
        <v>468</v>
      </c>
      <c r="C51" s="9">
        <v>113</v>
      </c>
      <c r="D51" s="9">
        <v>113</v>
      </c>
      <c r="E51" s="10">
        <v>98.523932470000005</v>
      </c>
      <c r="F51" s="11">
        <f t="shared" si="10"/>
        <v>11133.204369110001</v>
      </c>
      <c r="G51" s="9" t="s">
        <v>475</v>
      </c>
      <c r="H51" s="9" t="s">
        <v>9</v>
      </c>
      <c r="I51" s="10">
        <v>2</v>
      </c>
      <c r="J51" s="12">
        <f t="shared" si="12"/>
        <v>0.33333333333333331</v>
      </c>
      <c r="K51" s="10">
        <f t="shared" si="2"/>
        <v>339</v>
      </c>
      <c r="L51" s="9"/>
      <c r="M51" s="9"/>
      <c r="N51" s="9"/>
      <c r="O51">
        <v>113</v>
      </c>
      <c r="P51">
        <v>113</v>
      </c>
      <c r="Q51">
        <v>113</v>
      </c>
      <c r="R51">
        <v>113</v>
      </c>
      <c r="S51">
        <v>113</v>
      </c>
      <c r="T51" s="3">
        <f t="shared" si="3"/>
        <v>11133.204369110001</v>
      </c>
      <c r="U51" s="3">
        <f t="shared" si="4"/>
        <v>11133.204369110001</v>
      </c>
      <c r="V51" s="3">
        <f t="shared" si="5"/>
        <v>11133.204369110001</v>
      </c>
      <c r="W51" s="3">
        <f t="shared" si="6"/>
        <v>11133.204369110001</v>
      </c>
      <c r="X51" s="3">
        <f t="shared" si="7"/>
        <v>11133.204369110001</v>
      </c>
      <c r="Y51" s="25">
        <f t="shared" si="8"/>
        <v>0</v>
      </c>
      <c r="AI51">
        <v>113</v>
      </c>
      <c r="AJ51">
        <v>0</v>
      </c>
      <c r="AK51">
        <f t="shared" si="9"/>
        <v>113</v>
      </c>
    </row>
    <row r="52" spans="1:39" x14ac:dyDescent="0.3">
      <c r="A52" s="13" t="s">
        <v>89</v>
      </c>
      <c r="B52" s="13" t="s">
        <v>7</v>
      </c>
      <c r="C52" s="13">
        <v>1</v>
      </c>
      <c r="D52" s="13">
        <v>1</v>
      </c>
      <c r="E52" s="14">
        <v>11077.608899999999</v>
      </c>
      <c r="F52" s="15">
        <f t="shared" si="10"/>
        <v>11077.608899999999</v>
      </c>
      <c r="G52" s="13" t="s">
        <v>90</v>
      </c>
      <c r="H52" s="13" t="s">
        <v>9</v>
      </c>
      <c r="I52" s="14">
        <v>0</v>
      </c>
      <c r="J52" s="16">
        <f t="shared" si="12"/>
        <v>0</v>
      </c>
      <c r="K52" s="14" t="e">
        <f t="shared" si="2"/>
        <v>#DIV/0!</v>
      </c>
      <c r="L52" s="13"/>
      <c r="M52" s="13"/>
      <c r="N52" s="13"/>
      <c r="O52">
        <v>1</v>
      </c>
      <c r="P52">
        <v>1</v>
      </c>
      <c r="Q52">
        <v>1</v>
      </c>
      <c r="R52">
        <v>1</v>
      </c>
      <c r="S52">
        <v>1</v>
      </c>
      <c r="T52" s="3">
        <f t="shared" si="3"/>
        <v>11077.608899999999</v>
      </c>
      <c r="U52" s="3">
        <f t="shared" si="4"/>
        <v>11077.608899999999</v>
      </c>
      <c r="V52" s="3">
        <f t="shared" si="5"/>
        <v>11077.608899999999</v>
      </c>
      <c r="W52" s="3">
        <f t="shared" si="6"/>
        <v>11077.608899999999</v>
      </c>
      <c r="X52" s="3">
        <f t="shared" si="7"/>
        <v>11077.608899999999</v>
      </c>
      <c r="Y52" s="25">
        <f t="shared" si="8"/>
        <v>0</v>
      </c>
      <c r="AI52">
        <v>1</v>
      </c>
      <c r="AJ52">
        <v>0</v>
      </c>
      <c r="AK52">
        <f t="shared" si="9"/>
        <v>1</v>
      </c>
    </row>
    <row r="53" spans="1:39" x14ac:dyDescent="0.3">
      <c r="A53" s="13" t="s">
        <v>211</v>
      </c>
      <c r="B53" s="13" t="s">
        <v>183</v>
      </c>
      <c r="C53" s="13">
        <v>2</v>
      </c>
      <c r="D53" s="13">
        <v>2</v>
      </c>
      <c r="E53" s="14">
        <v>5499.8371999999999</v>
      </c>
      <c r="F53" s="15">
        <f t="shared" si="10"/>
        <v>10999.6744</v>
      </c>
      <c r="G53" s="13" t="s">
        <v>212</v>
      </c>
      <c r="H53" s="13" t="s">
        <v>9</v>
      </c>
      <c r="I53" s="14">
        <v>0</v>
      </c>
      <c r="J53" s="16">
        <f t="shared" si="12"/>
        <v>0</v>
      </c>
      <c r="K53" s="14" t="e">
        <f t="shared" si="2"/>
        <v>#DIV/0!</v>
      </c>
      <c r="L53" s="13"/>
      <c r="M53" s="13"/>
      <c r="N53" s="13"/>
      <c r="O53">
        <v>2</v>
      </c>
      <c r="P53">
        <v>2</v>
      </c>
      <c r="Q53">
        <v>2</v>
      </c>
      <c r="R53">
        <v>2</v>
      </c>
      <c r="S53">
        <v>2</v>
      </c>
      <c r="T53" s="3">
        <f t="shared" si="3"/>
        <v>10999.6744</v>
      </c>
      <c r="U53" s="3">
        <f t="shared" si="4"/>
        <v>10999.6744</v>
      </c>
      <c r="V53" s="3">
        <f t="shared" si="5"/>
        <v>10999.6744</v>
      </c>
      <c r="W53" s="3">
        <f t="shared" si="6"/>
        <v>10999.6744</v>
      </c>
      <c r="X53" s="3">
        <f t="shared" si="7"/>
        <v>10999.6744</v>
      </c>
      <c r="Y53" s="25">
        <f t="shared" si="8"/>
        <v>0</v>
      </c>
      <c r="AI53">
        <v>2</v>
      </c>
      <c r="AJ53">
        <v>0</v>
      </c>
      <c r="AK53">
        <f t="shared" si="9"/>
        <v>2</v>
      </c>
    </row>
    <row r="54" spans="1:39" x14ac:dyDescent="0.3">
      <c r="A54" s="9" t="s">
        <v>530</v>
      </c>
      <c r="B54" s="9" t="s">
        <v>468</v>
      </c>
      <c r="C54" s="9">
        <f>23</f>
        <v>23</v>
      </c>
      <c r="D54" s="9">
        <v>18</v>
      </c>
      <c r="E54" s="10">
        <v>572.22743889000003</v>
      </c>
      <c r="F54" s="11">
        <f t="shared" si="10"/>
        <v>10300.093900020001</v>
      </c>
      <c r="G54" s="9" t="s">
        <v>531</v>
      </c>
      <c r="H54" s="9" t="s">
        <v>9</v>
      </c>
      <c r="I54" s="10">
        <v>7</v>
      </c>
      <c r="J54" s="12">
        <f t="shared" si="12"/>
        <v>1.1666666666666667</v>
      </c>
      <c r="K54" s="10">
        <f t="shared" si="2"/>
        <v>15.428571428571427</v>
      </c>
      <c r="L54" s="9"/>
      <c r="M54" s="17">
        <v>45999</v>
      </c>
      <c r="N54" s="9" t="s">
        <v>679</v>
      </c>
      <c r="O54">
        <v>18</v>
      </c>
      <c r="P54">
        <v>18</v>
      </c>
      <c r="Q54">
        <v>18</v>
      </c>
      <c r="R54">
        <v>18</v>
      </c>
      <c r="S54">
        <v>18</v>
      </c>
      <c r="T54" s="3">
        <f t="shared" si="3"/>
        <v>10300.093900020001</v>
      </c>
      <c r="U54" s="3">
        <f t="shared" si="4"/>
        <v>10300.093900020001</v>
      </c>
      <c r="V54" s="3">
        <f t="shared" si="5"/>
        <v>10300.093900020001</v>
      </c>
      <c r="W54" s="3">
        <f t="shared" si="6"/>
        <v>10300.093900020001</v>
      </c>
      <c r="X54" s="3">
        <f t="shared" si="7"/>
        <v>10300.093900020001</v>
      </c>
      <c r="Y54" s="25">
        <f t="shared" si="8"/>
        <v>0</v>
      </c>
      <c r="AI54">
        <v>23</v>
      </c>
      <c r="AJ54">
        <v>5</v>
      </c>
      <c r="AK54">
        <f t="shared" si="9"/>
        <v>18</v>
      </c>
    </row>
    <row r="55" spans="1:39" x14ac:dyDescent="0.3">
      <c r="A55" s="9" t="s">
        <v>70</v>
      </c>
      <c r="B55" s="9" t="s">
        <v>7</v>
      </c>
      <c r="C55" s="9">
        <f>32</f>
        <v>32</v>
      </c>
      <c r="D55" s="9">
        <v>24</v>
      </c>
      <c r="E55" s="10">
        <v>421.08607059000002</v>
      </c>
      <c r="F55" s="11">
        <f t="shared" si="10"/>
        <v>10106.065694160001</v>
      </c>
      <c r="G55" s="9" t="s">
        <v>71</v>
      </c>
      <c r="H55" s="9" t="s">
        <v>72</v>
      </c>
      <c r="I55" s="10">
        <v>9</v>
      </c>
      <c r="J55" s="12">
        <f t="shared" si="12"/>
        <v>1.5</v>
      </c>
      <c r="K55" s="10">
        <f t="shared" si="2"/>
        <v>16</v>
      </c>
      <c r="L55" s="9"/>
      <c r="M55" s="9"/>
      <c r="N55" s="9"/>
      <c r="O55">
        <v>24</v>
      </c>
      <c r="P55">
        <v>24</v>
      </c>
      <c r="Q55">
        <v>24</v>
      </c>
      <c r="R55">
        <v>23</v>
      </c>
      <c r="S55">
        <v>22</v>
      </c>
      <c r="T55" s="3">
        <f t="shared" si="3"/>
        <v>10106.065694160001</v>
      </c>
      <c r="U55" s="3">
        <f t="shared" si="4"/>
        <v>10106.065694160001</v>
      </c>
      <c r="V55" s="3">
        <f t="shared" si="5"/>
        <v>10106.065694160001</v>
      </c>
      <c r="W55" s="3">
        <f t="shared" si="6"/>
        <v>9684.9796235699996</v>
      </c>
      <c r="X55" s="3">
        <f t="shared" si="7"/>
        <v>9263.8935529800001</v>
      </c>
      <c r="Y55" s="25">
        <f t="shared" si="8"/>
        <v>-842.17214118000084</v>
      </c>
      <c r="AI55">
        <v>30</v>
      </c>
      <c r="AJ55">
        <v>8</v>
      </c>
      <c r="AK55">
        <f t="shared" si="9"/>
        <v>22</v>
      </c>
    </row>
    <row r="56" spans="1:39" x14ac:dyDescent="0.3">
      <c r="A56" s="9" t="s">
        <v>503</v>
      </c>
      <c r="B56" s="9" t="s">
        <v>468</v>
      </c>
      <c r="C56" s="9">
        <v>13</v>
      </c>
      <c r="D56" s="9">
        <v>13</v>
      </c>
      <c r="E56" s="10">
        <v>750.40146666999999</v>
      </c>
      <c r="F56" s="11">
        <f t="shared" si="10"/>
        <v>9755.2190667100003</v>
      </c>
      <c r="G56" s="9" t="s">
        <v>504</v>
      </c>
      <c r="H56" s="9" t="s">
        <v>9</v>
      </c>
      <c r="I56" s="10">
        <v>1</v>
      </c>
      <c r="J56" s="12">
        <f t="shared" si="12"/>
        <v>0.16666666666666666</v>
      </c>
      <c r="K56" s="10">
        <f t="shared" si="2"/>
        <v>78</v>
      </c>
      <c r="L56" s="9"/>
      <c r="M56" s="9"/>
      <c r="N56" s="9"/>
      <c r="O56">
        <v>13</v>
      </c>
      <c r="P56">
        <v>13</v>
      </c>
      <c r="Q56">
        <v>13</v>
      </c>
      <c r="R56">
        <v>12</v>
      </c>
      <c r="S56">
        <v>12</v>
      </c>
      <c r="T56" s="3">
        <f t="shared" si="3"/>
        <v>9755.2190667100003</v>
      </c>
      <c r="U56" s="3">
        <f t="shared" si="4"/>
        <v>9755.2190667100003</v>
      </c>
      <c r="V56" s="3">
        <f t="shared" si="5"/>
        <v>9755.2190667100003</v>
      </c>
      <c r="W56" s="3">
        <f t="shared" si="6"/>
        <v>9004.8176000399999</v>
      </c>
      <c r="X56" s="3">
        <f t="shared" si="7"/>
        <v>9004.8176000399999</v>
      </c>
      <c r="Y56" s="25">
        <f t="shared" si="8"/>
        <v>-750.40146667000045</v>
      </c>
      <c r="AI56">
        <v>12</v>
      </c>
      <c r="AJ56">
        <v>0</v>
      </c>
      <c r="AK56">
        <f t="shared" si="9"/>
        <v>12</v>
      </c>
    </row>
    <row r="57" spans="1:39" x14ac:dyDescent="0.3">
      <c r="A57" s="13" t="s">
        <v>429</v>
      </c>
      <c r="B57" s="13" t="s">
        <v>415</v>
      </c>
      <c r="C57" s="13">
        <v>4</v>
      </c>
      <c r="D57" s="13">
        <v>4</v>
      </c>
      <c r="E57" s="14">
        <v>2420.52</v>
      </c>
      <c r="F57" s="15">
        <f t="shared" si="10"/>
        <v>9682.08</v>
      </c>
      <c r="G57" s="13" t="s">
        <v>430</v>
      </c>
      <c r="H57" s="13" t="s">
        <v>9</v>
      </c>
      <c r="I57" s="14">
        <v>0</v>
      </c>
      <c r="J57" s="16">
        <f t="shared" si="12"/>
        <v>0</v>
      </c>
      <c r="K57" s="14" t="e">
        <f t="shared" si="2"/>
        <v>#DIV/0!</v>
      </c>
      <c r="L57" s="13"/>
      <c r="M57" s="13"/>
      <c r="N57" s="13"/>
      <c r="O57">
        <v>4</v>
      </c>
      <c r="P57">
        <v>4</v>
      </c>
      <c r="Q57">
        <v>4</v>
      </c>
      <c r="R57">
        <v>4</v>
      </c>
      <c r="S57">
        <v>4</v>
      </c>
      <c r="T57" s="3">
        <f t="shared" si="3"/>
        <v>9682.08</v>
      </c>
      <c r="U57" s="3">
        <f t="shared" si="4"/>
        <v>9682.08</v>
      </c>
      <c r="V57" s="3">
        <f t="shared" si="5"/>
        <v>9682.08</v>
      </c>
      <c r="W57" s="3">
        <f t="shared" si="6"/>
        <v>9682.08</v>
      </c>
      <c r="X57" s="3">
        <f t="shared" si="7"/>
        <v>9682.08</v>
      </c>
      <c r="Y57" s="25">
        <f t="shared" si="8"/>
        <v>0</v>
      </c>
      <c r="AI57">
        <v>4</v>
      </c>
      <c r="AJ57">
        <v>0</v>
      </c>
      <c r="AK57">
        <f t="shared" si="9"/>
        <v>4</v>
      </c>
    </row>
    <row r="58" spans="1:39" x14ac:dyDescent="0.3">
      <c r="A58" s="9" t="s">
        <v>507</v>
      </c>
      <c r="B58" s="9" t="s">
        <v>468</v>
      </c>
      <c r="C58" s="9">
        <f>49-7</f>
        <v>42</v>
      </c>
      <c r="D58" s="9">
        <v>42</v>
      </c>
      <c r="E58" s="10">
        <v>166.21701429000001</v>
      </c>
      <c r="F58" s="11">
        <f t="shared" si="10"/>
        <v>6981.1146001800007</v>
      </c>
      <c r="G58" s="9" t="s">
        <v>508</v>
      </c>
      <c r="H58" s="9" t="s">
        <v>9</v>
      </c>
      <c r="I58" s="10">
        <v>15</v>
      </c>
      <c r="J58" s="12">
        <f t="shared" si="12"/>
        <v>2.5</v>
      </c>
      <c r="K58" s="10">
        <f t="shared" si="2"/>
        <v>16.8</v>
      </c>
      <c r="L58" s="9"/>
      <c r="M58" s="9"/>
      <c r="N58" s="9"/>
      <c r="O58">
        <v>42</v>
      </c>
      <c r="P58">
        <v>42</v>
      </c>
      <c r="Q58">
        <v>32</v>
      </c>
      <c r="R58">
        <v>32</v>
      </c>
      <c r="S58">
        <v>32</v>
      </c>
      <c r="T58" s="3">
        <f t="shared" si="3"/>
        <v>6981.1146001800007</v>
      </c>
      <c r="U58" s="3">
        <f t="shared" si="4"/>
        <v>6981.1146001800007</v>
      </c>
      <c r="V58" s="3">
        <f t="shared" si="5"/>
        <v>5318.9444572800003</v>
      </c>
      <c r="W58" s="3">
        <f t="shared" si="6"/>
        <v>5318.9444572800003</v>
      </c>
      <c r="X58" s="3">
        <f t="shared" si="7"/>
        <v>5318.9444572800003</v>
      </c>
      <c r="Y58" s="25">
        <f t="shared" si="8"/>
        <v>-1662.1701429000004</v>
      </c>
      <c r="AI58">
        <v>39</v>
      </c>
      <c r="AJ58">
        <v>7</v>
      </c>
      <c r="AK58">
        <f t="shared" si="9"/>
        <v>32</v>
      </c>
    </row>
    <row r="59" spans="1:39" x14ac:dyDescent="0.3">
      <c r="A59" s="13" t="s">
        <v>414</v>
      </c>
      <c r="B59" s="13" t="s">
        <v>415</v>
      </c>
      <c r="C59" s="13">
        <v>6</v>
      </c>
      <c r="D59" s="13">
        <v>6</v>
      </c>
      <c r="E59" s="14">
        <v>1144</v>
      </c>
      <c r="F59" s="15">
        <f t="shared" si="10"/>
        <v>6864</v>
      </c>
      <c r="G59" s="13" t="s">
        <v>416</v>
      </c>
      <c r="H59" s="13" t="s">
        <v>9</v>
      </c>
      <c r="I59" s="14">
        <v>0</v>
      </c>
      <c r="J59" s="16">
        <f t="shared" si="12"/>
        <v>0</v>
      </c>
      <c r="K59" s="14" t="e">
        <f t="shared" si="2"/>
        <v>#DIV/0!</v>
      </c>
      <c r="L59" s="13"/>
      <c r="M59" s="13"/>
      <c r="N59" s="13"/>
      <c r="O59">
        <v>6</v>
      </c>
      <c r="P59">
        <v>6</v>
      </c>
      <c r="Q59">
        <v>6</v>
      </c>
      <c r="R59">
        <v>6</v>
      </c>
      <c r="S59">
        <v>6</v>
      </c>
      <c r="T59" s="3">
        <f t="shared" si="3"/>
        <v>6864</v>
      </c>
      <c r="U59" s="3">
        <f t="shared" si="4"/>
        <v>6864</v>
      </c>
      <c r="V59" s="3">
        <f t="shared" si="5"/>
        <v>6864</v>
      </c>
      <c r="W59" s="3">
        <f t="shared" si="6"/>
        <v>6864</v>
      </c>
      <c r="X59" s="3">
        <f t="shared" si="7"/>
        <v>6864</v>
      </c>
      <c r="Y59" s="25">
        <f t="shared" si="8"/>
        <v>0</v>
      </c>
      <c r="AI59">
        <v>6</v>
      </c>
      <c r="AJ59">
        <v>0</v>
      </c>
      <c r="AK59">
        <f t="shared" si="9"/>
        <v>6</v>
      </c>
    </row>
    <row r="60" spans="1:39" x14ac:dyDescent="0.3">
      <c r="A60" s="13" t="s">
        <v>470</v>
      </c>
      <c r="B60" s="13" t="s">
        <v>468</v>
      </c>
      <c r="C60" s="13">
        <v>2</v>
      </c>
      <c r="D60" s="13">
        <v>2</v>
      </c>
      <c r="E60" s="14">
        <v>2997.0463</v>
      </c>
      <c r="F60" s="15">
        <f t="shared" si="10"/>
        <v>5994.0925999999999</v>
      </c>
      <c r="G60" s="13" t="s">
        <v>471</v>
      </c>
      <c r="H60" s="13" t="s">
        <v>9</v>
      </c>
      <c r="I60" s="14">
        <v>0</v>
      </c>
      <c r="J60" s="16">
        <f t="shared" si="12"/>
        <v>0</v>
      </c>
      <c r="K60" s="14" t="e">
        <f t="shared" si="2"/>
        <v>#DIV/0!</v>
      </c>
      <c r="L60" s="13"/>
      <c r="M60" s="13"/>
      <c r="N60" s="13"/>
      <c r="O60">
        <v>2</v>
      </c>
      <c r="P60">
        <v>2</v>
      </c>
      <c r="Q60">
        <v>2</v>
      </c>
      <c r="R60">
        <v>2</v>
      </c>
      <c r="S60">
        <v>2</v>
      </c>
      <c r="T60" s="3">
        <f t="shared" si="3"/>
        <v>5994.0925999999999</v>
      </c>
      <c r="U60" s="3">
        <f t="shared" si="4"/>
        <v>5994.0925999999999</v>
      </c>
      <c r="V60" s="3">
        <f t="shared" si="5"/>
        <v>5994.0925999999999</v>
      </c>
      <c r="W60" s="3">
        <f t="shared" si="6"/>
        <v>5994.0925999999999</v>
      </c>
      <c r="X60" s="3">
        <f t="shared" si="7"/>
        <v>5994.0925999999999</v>
      </c>
      <c r="Y60" s="25">
        <f t="shared" si="8"/>
        <v>0</v>
      </c>
      <c r="AI60">
        <v>2</v>
      </c>
      <c r="AJ60">
        <v>0</v>
      </c>
      <c r="AK60">
        <f t="shared" si="9"/>
        <v>2</v>
      </c>
    </row>
    <row r="61" spans="1:39" x14ac:dyDescent="0.3">
      <c r="A61" s="9" t="s">
        <v>83</v>
      </c>
      <c r="B61" s="9" t="s">
        <v>7</v>
      </c>
      <c r="C61" s="9">
        <v>13</v>
      </c>
      <c r="D61" s="9">
        <v>13</v>
      </c>
      <c r="E61" s="10">
        <v>418.50576923</v>
      </c>
      <c r="F61" s="11">
        <f t="shared" si="10"/>
        <v>5440.5749999899999</v>
      </c>
      <c r="G61" s="9" t="s">
        <v>84</v>
      </c>
      <c r="H61" s="9" t="s">
        <v>9</v>
      </c>
      <c r="I61" s="10">
        <v>2</v>
      </c>
      <c r="J61" s="12">
        <f t="shared" si="12"/>
        <v>0.33333333333333331</v>
      </c>
      <c r="K61" s="10">
        <f t="shared" si="2"/>
        <v>39</v>
      </c>
      <c r="L61" s="9"/>
      <c r="M61" s="9"/>
      <c r="N61" s="9"/>
      <c r="O61">
        <v>13</v>
      </c>
      <c r="P61">
        <v>13</v>
      </c>
      <c r="Q61">
        <v>13</v>
      </c>
      <c r="R61">
        <v>13</v>
      </c>
      <c r="S61">
        <v>13</v>
      </c>
      <c r="T61" s="3">
        <f t="shared" si="3"/>
        <v>5440.5749999899999</v>
      </c>
      <c r="U61" s="3">
        <f t="shared" si="4"/>
        <v>5440.5749999899999</v>
      </c>
      <c r="V61" s="3">
        <f t="shared" si="5"/>
        <v>5440.5749999899999</v>
      </c>
      <c r="W61" s="3">
        <f t="shared" si="6"/>
        <v>5440.5749999899999</v>
      </c>
      <c r="X61" s="3">
        <f t="shared" si="7"/>
        <v>5440.5749999899999</v>
      </c>
      <c r="Y61" s="25">
        <f t="shared" si="8"/>
        <v>0</v>
      </c>
      <c r="AI61">
        <v>13</v>
      </c>
      <c r="AJ61">
        <v>0</v>
      </c>
      <c r="AK61">
        <f t="shared" si="9"/>
        <v>13</v>
      </c>
    </row>
    <row r="62" spans="1:39" x14ac:dyDescent="0.3">
      <c r="A62" s="9" t="s">
        <v>64</v>
      </c>
      <c r="B62" s="9" t="s">
        <v>7</v>
      </c>
      <c r="C62" s="9">
        <f>19</f>
        <v>19</v>
      </c>
      <c r="D62" s="9">
        <v>14</v>
      </c>
      <c r="E62" s="10">
        <v>368.36806912999998</v>
      </c>
      <c r="F62" s="11">
        <f t="shared" si="10"/>
        <v>5157.1529678199995</v>
      </c>
      <c r="G62" s="9" t="s">
        <v>65</v>
      </c>
      <c r="H62" s="9" t="s">
        <v>9</v>
      </c>
      <c r="I62" s="10">
        <v>5</v>
      </c>
      <c r="J62" s="12">
        <f t="shared" si="12"/>
        <v>0.83333333333333337</v>
      </c>
      <c r="K62" s="10">
        <f t="shared" si="2"/>
        <v>16.8</v>
      </c>
      <c r="L62" s="9"/>
      <c r="M62" s="9"/>
      <c r="N62" s="9"/>
      <c r="O62">
        <v>14</v>
      </c>
      <c r="P62">
        <v>14</v>
      </c>
      <c r="Q62">
        <v>14</v>
      </c>
      <c r="R62">
        <v>14</v>
      </c>
      <c r="S62">
        <v>14</v>
      </c>
      <c r="T62" s="3">
        <f t="shared" si="3"/>
        <v>5157.1529678199995</v>
      </c>
      <c r="U62" s="3">
        <f t="shared" si="4"/>
        <v>5157.1529678199995</v>
      </c>
      <c r="V62" s="3">
        <f t="shared" si="5"/>
        <v>5157.1529678199995</v>
      </c>
      <c r="W62" s="3">
        <f t="shared" si="6"/>
        <v>5157.1529678199995</v>
      </c>
      <c r="X62" s="3">
        <f t="shared" si="7"/>
        <v>5157.1529678199995</v>
      </c>
      <c r="Y62" s="25">
        <f t="shared" si="8"/>
        <v>0</v>
      </c>
      <c r="AI62">
        <v>19</v>
      </c>
      <c r="AJ62">
        <v>5</v>
      </c>
      <c r="AK62">
        <f t="shared" si="9"/>
        <v>14</v>
      </c>
    </row>
    <row r="63" spans="1:39" x14ac:dyDescent="0.3">
      <c r="A63" s="13" t="s">
        <v>524</v>
      </c>
      <c r="B63" s="13" t="s">
        <v>468</v>
      </c>
      <c r="C63" s="13">
        <v>10</v>
      </c>
      <c r="D63" s="13">
        <v>10</v>
      </c>
      <c r="E63" s="14">
        <v>515.32360000000006</v>
      </c>
      <c r="F63" s="15">
        <f t="shared" si="10"/>
        <v>5153.2360000000008</v>
      </c>
      <c r="G63" s="13" t="s">
        <v>525</v>
      </c>
      <c r="H63" s="13" t="s">
        <v>9</v>
      </c>
      <c r="I63" s="14">
        <v>0</v>
      </c>
      <c r="J63" s="16">
        <f t="shared" si="12"/>
        <v>0</v>
      </c>
      <c r="K63" s="14" t="e">
        <f t="shared" si="2"/>
        <v>#DIV/0!</v>
      </c>
      <c r="L63" s="13"/>
      <c r="M63" s="13"/>
      <c r="N63" s="13"/>
      <c r="O63">
        <v>10</v>
      </c>
      <c r="P63">
        <v>10</v>
      </c>
      <c r="Q63">
        <v>10</v>
      </c>
      <c r="R63">
        <v>10</v>
      </c>
      <c r="S63">
        <v>10</v>
      </c>
      <c r="T63" s="3">
        <f t="shared" si="3"/>
        <v>5153.2360000000008</v>
      </c>
      <c r="U63" s="3">
        <f t="shared" si="4"/>
        <v>5153.2360000000008</v>
      </c>
      <c r="V63" s="3">
        <f t="shared" si="5"/>
        <v>5153.2360000000008</v>
      </c>
      <c r="W63" s="3">
        <f t="shared" si="6"/>
        <v>5153.2360000000008</v>
      </c>
      <c r="X63" s="3">
        <f t="shared" si="7"/>
        <v>5153.2360000000008</v>
      </c>
      <c r="Y63" s="25">
        <f t="shared" si="8"/>
        <v>0</v>
      </c>
      <c r="AI63">
        <v>10</v>
      </c>
      <c r="AJ63">
        <v>0</v>
      </c>
      <c r="AK63">
        <f t="shared" si="9"/>
        <v>10</v>
      </c>
    </row>
    <row r="64" spans="1:39" x14ac:dyDescent="0.3">
      <c r="A64" s="9" t="s">
        <v>520</v>
      </c>
      <c r="B64" s="9" t="s">
        <v>468</v>
      </c>
      <c r="C64" s="9">
        <f>32-5</f>
        <v>27</v>
      </c>
      <c r="D64" s="9">
        <v>27</v>
      </c>
      <c r="E64" s="10">
        <v>188.67199343999999</v>
      </c>
      <c r="F64" s="11">
        <f t="shared" si="10"/>
        <v>5094.1438228799998</v>
      </c>
      <c r="G64" s="9" t="s">
        <v>521</v>
      </c>
      <c r="H64" s="9" t="s">
        <v>9</v>
      </c>
      <c r="I64" s="10">
        <v>5</v>
      </c>
      <c r="J64" s="12">
        <f t="shared" si="12"/>
        <v>0.83333333333333337</v>
      </c>
      <c r="K64" s="10">
        <f t="shared" si="2"/>
        <v>32.4</v>
      </c>
      <c r="L64" s="9"/>
      <c r="M64" s="17">
        <v>45940</v>
      </c>
      <c r="N64" s="9" t="s">
        <v>678</v>
      </c>
      <c r="O64">
        <v>27</v>
      </c>
      <c r="P64">
        <v>27</v>
      </c>
      <c r="Q64">
        <v>27</v>
      </c>
      <c r="R64">
        <v>26</v>
      </c>
      <c r="S64">
        <v>26</v>
      </c>
      <c r="T64" s="3">
        <f t="shared" si="3"/>
        <v>5094.1438228799998</v>
      </c>
      <c r="U64" s="3">
        <f t="shared" si="4"/>
        <v>5094.1438228799998</v>
      </c>
      <c r="V64" s="3">
        <f t="shared" si="5"/>
        <v>5094.1438228799998</v>
      </c>
      <c r="W64" s="3">
        <f t="shared" si="6"/>
        <v>4905.47182944</v>
      </c>
      <c r="X64" s="3">
        <f t="shared" si="7"/>
        <v>4905.47182944</v>
      </c>
      <c r="Y64" s="25">
        <f t="shared" si="8"/>
        <v>-188.67199343999982</v>
      </c>
      <c r="AI64">
        <v>31</v>
      </c>
      <c r="AJ64">
        <v>5</v>
      </c>
      <c r="AK64">
        <f t="shared" si="9"/>
        <v>26</v>
      </c>
    </row>
    <row r="65" spans="1:37" x14ac:dyDescent="0.3">
      <c r="A65" s="9" t="s">
        <v>589</v>
      </c>
      <c r="B65" s="9" t="s">
        <v>565</v>
      </c>
      <c r="C65" s="9">
        <f>80</f>
        <v>80</v>
      </c>
      <c r="D65" s="9">
        <v>62</v>
      </c>
      <c r="E65" s="10">
        <v>77.868799999999993</v>
      </c>
      <c r="F65" s="11">
        <f t="shared" si="10"/>
        <v>4827.8655999999992</v>
      </c>
      <c r="G65" s="9" t="s">
        <v>590</v>
      </c>
      <c r="H65" s="9" t="s">
        <v>9</v>
      </c>
      <c r="I65" s="10">
        <v>20</v>
      </c>
      <c r="J65" s="12">
        <f t="shared" si="12"/>
        <v>3.3333333333333335</v>
      </c>
      <c r="K65" s="10">
        <f t="shared" si="2"/>
        <v>18.599999999999998</v>
      </c>
      <c r="L65" s="9"/>
      <c r="M65" s="9"/>
      <c r="N65" s="9"/>
      <c r="O65">
        <v>62</v>
      </c>
      <c r="P65">
        <v>62</v>
      </c>
      <c r="Q65">
        <v>62</v>
      </c>
      <c r="R65">
        <v>62</v>
      </c>
      <c r="S65">
        <v>61</v>
      </c>
      <c r="T65" s="3">
        <f t="shared" si="3"/>
        <v>4827.8655999999992</v>
      </c>
      <c r="U65" s="3">
        <f t="shared" si="4"/>
        <v>4827.8655999999992</v>
      </c>
      <c r="V65" s="3">
        <f t="shared" si="5"/>
        <v>4827.8655999999992</v>
      </c>
      <c r="W65" s="3">
        <f t="shared" si="6"/>
        <v>4827.8655999999992</v>
      </c>
      <c r="X65" s="3">
        <f t="shared" si="7"/>
        <v>4749.9967999999999</v>
      </c>
      <c r="Y65" s="25">
        <f t="shared" si="8"/>
        <v>-77.868799999999283</v>
      </c>
      <c r="AI65">
        <v>79</v>
      </c>
      <c r="AJ65">
        <v>18</v>
      </c>
      <c r="AK65">
        <f t="shared" si="9"/>
        <v>61</v>
      </c>
    </row>
    <row r="66" spans="1:37" x14ac:dyDescent="0.3">
      <c r="A66" s="9" t="s">
        <v>478</v>
      </c>
      <c r="B66" s="9" t="s">
        <v>468</v>
      </c>
      <c r="C66" s="9">
        <v>28</v>
      </c>
      <c r="D66" s="9">
        <v>28</v>
      </c>
      <c r="E66" s="10">
        <v>166.57618124999999</v>
      </c>
      <c r="F66" s="11">
        <f t="shared" ref="F66:F97" si="13">+D66*E66</f>
        <v>4664.1330749999997</v>
      </c>
      <c r="G66" s="9" t="s">
        <v>478</v>
      </c>
      <c r="H66" s="9" t="s">
        <v>9</v>
      </c>
      <c r="I66" s="10">
        <v>2</v>
      </c>
      <c r="J66" s="12">
        <f t="shared" si="12"/>
        <v>0.33333333333333331</v>
      </c>
      <c r="K66" s="10">
        <f t="shared" si="2"/>
        <v>84</v>
      </c>
      <c r="L66" s="9"/>
      <c r="M66" s="9"/>
      <c r="N66" s="9"/>
      <c r="O66">
        <v>28</v>
      </c>
      <c r="P66">
        <v>28</v>
      </c>
      <c r="Q66">
        <v>28</v>
      </c>
      <c r="R66">
        <v>28</v>
      </c>
      <c r="S66">
        <v>28</v>
      </c>
      <c r="T66" s="3">
        <f t="shared" si="3"/>
        <v>4664.1330749999997</v>
      </c>
      <c r="U66" s="3">
        <f t="shared" si="4"/>
        <v>4664.1330749999997</v>
      </c>
      <c r="V66" s="3">
        <f t="shared" si="5"/>
        <v>4664.1330749999997</v>
      </c>
      <c r="W66" s="3">
        <f t="shared" si="6"/>
        <v>4664.1330749999997</v>
      </c>
      <c r="X66" s="3">
        <f t="shared" si="7"/>
        <v>4664.1330749999997</v>
      </c>
      <c r="Y66" s="25">
        <f t="shared" si="8"/>
        <v>0</v>
      </c>
      <c r="AI66">
        <v>28</v>
      </c>
      <c r="AJ66">
        <v>0</v>
      </c>
      <c r="AK66">
        <f t="shared" si="9"/>
        <v>28</v>
      </c>
    </row>
    <row r="67" spans="1:37" x14ac:dyDescent="0.3">
      <c r="A67" s="13" t="s">
        <v>546</v>
      </c>
      <c r="B67" s="13" t="s">
        <v>468</v>
      </c>
      <c r="C67" s="13">
        <v>1</v>
      </c>
      <c r="D67" s="13">
        <v>1</v>
      </c>
      <c r="E67" s="14">
        <v>3893.1378</v>
      </c>
      <c r="F67" s="15">
        <f t="shared" si="13"/>
        <v>3893.1378</v>
      </c>
      <c r="G67" s="13" t="s">
        <v>547</v>
      </c>
      <c r="H67" s="13" t="s">
        <v>9</v>
      </c>
      <c r="I67" s="14">
        <v>0</v>
      </c>
      <c r="J67" s="16">
        <f t="shared" si="12"/>
        <v>0</v>
      </c>
      <c r="K67" s="14" t="e">
        <f t="shared" ref="K67:K119" si="14">+D67/J67</f>
        <v>#DIV/0!</v>
      </c>
      <c r="L67" s="13"/>
      <c r="M67" s="13"/>
      <c r="N67" s="13"/>
      <c r="O67">
        <v>1</v>
      </c>
      <c r="P67">
        <v>1</v>
      </c>
      <c r="Q67">
        <v>1</v>
      </c>
      <c r="R67">
        <v>1</v>
      </c>
      <c r="S67">
        <v>1</v>
      </c>
      <c r="T67" s="3">
        <f t="shared" ref="T67:T119" si="15">+E67*O67</f>
        <v>3893.1378</v>
      </c>
      <c r="U67" s="3">
        <f t="shared" ref="U67:U119" si="16">+E67*P67</f>
        <v>3893.1378</v>
      </c>
      <c r="V67" s="3">
        <f t="shared" ref="V67:V119" si="17">+E67*Q67</f>
        <v>3893.1378</v>
      </c>
      <c r="W67" s="3">
        <f t="shared" ref="W67:W119" si="18">+E67*R67</f>
        <v>3893.1378</v>
      </c>
      <c r="X67" s="3">
        <f t="shared" ref="X67:X119" si="19">+E67*S67</f>
        <v>3893.1378</v>
      </c>
      <c r="Y67" s="25">
        <f t="shared" ref="Y67:Y119" si="20">+X67-F67</f>
        <v>0</v>
      </c>
      <c r="AI67">
        <v>1</v>
      </c>
      <c r="AJ67">
        <v>0</v>
      </c>
      <c r="AK67">
        <f t="shared" ref="AK67:AK119" si="21">+AI67-AJ67</f>
        <v>1</v>
      </c>
    </row>
    <row r="68" spans="1:37" x14ac:dyDescent="0.3">
      <c r="A68" s="9" t="s">
        <v>58</v>
      </c>
      <c r="B68" s="9" t="s">
        <v>7</v>
      </c>
      <c r="C68" s="9">
        <v>27</v>
      </c>
      <c r="D68" s="9">
        <v>27</v>
      </c>
      <c r="E68" s="10">
        <v>141.60169999999999</v>
      </c>
      <c r="F68" s="11">
        <f t="shared" si="13"/>
        <v>3823.2458999999999</v>
      </c>
      <c r="G68" s="9" t="s">
        <v>59</v>
      </c>
      <c r="H68" s="9" t="s">
        <v>9</v>
      </c>
      <c r="I68" s="10">
        <v>3</v>
      </c>
      <c r="J68" s="12">
        <f t="shared" si="12"/>
        <v>0.5</v>
      </c>
      <c r="K68" s="10">
        <f t="shared" si="14"/>
        <v>54</v>
      </c>
      <c r="L68" s="9"/>
      <c r="M68" s="9"/>
      <c r="N68" s="9"/>
      <c r="O68">
        <v>27</v>
      </c>
      <c r="P68">
        <v>27</v>
      </c>
      <c r="Q68">
        <v>27</v>
      </c>
      <c r="R68">
        <v>27</v>
      </c>
      <c r="S68">
        <v>27</v>
      </c>
      <c r="T68" s="3">
        <f t="shared" si="15"/>
        <v>3823.2458999999999</v>
      </c>
      <c r="U68" s="3">
        <f t="shared" si="16"/>
        <v>3823.2458999999999</v>
      </c>
      <c r="V68" s="3">
        <f t="shared" si="17"/>
        <v>3823.2458999999999</v>
      </c>
      <c r="W68" s="3">
        <f t="shared" si="18"/>
        <v>3823.2458999999999</v>
      </c>
      <c r="X68" s="3">
        <f t="shared" si="19"/>
        <v>3823.2458999999999</v>
      </c>
      <c r="Y68" s="25">
        <f t="shared" si="20"/>
        <v>0</v>
      </c>
      <c r="AI68">
        <v>27</v>
      </c>
      <c r="AJ68">
        <v>0</v>
      </c>
      <c r="AK68">
        <f t="shared" si="21"/>
        <v>27</v>
      </c>
    </row>
    <row r="69" spans="1:37" x14ac:dyDescent="0.3">
      <c r="A69" s="13" t="s">
        <v>427</v>
      </c>
      <c r="B69" s="13" t="s">
        <v>415</v>
      </c>
      <c r="C69" s="13">
        <v>1</v>
      </c>
      <c r="D69" s="13">
        <v>1</v>
      </c>
      <c r="E69" s="14">
        <v>3439.4344999999998</v>
      </c>
      <c r="F69" s="15">
        <f t="shared" si="13"/>
        <v>3439.4344999999998</v>
      </c>
      <c r="G69" s="13" t="s">
        <v>428</v>
      </c>
      <c r="H69" s="13" t="s">
        <v>9</v>
      </c>
      <c r="I69" s="14">
        <v>0</v>
      </c>
      <c r="J69" s="16">
        <f t="shared" si="12"/>
        <v>0</v>
      </c>
      <c r="K69" s="14" t="e">
        <f t="shared" si="14"/>
        <v>#DIV/0!</v>
      </c>
      <c r="L69" s="13"/>
      <c r="M69" s="13"/>
      <c r="N69" s="13"/>
      <c r="O69">
        <v>1</v>
      </c>
      <c r="P69">
        <v>1</v>
      </c>
      <c r="Q69">
        <v>1</v>
      </c>
      <c r="R69">
        <v>1</v>
      </c>
      <c r="S69">
        <v>1</v>
      </c>
      <c r="T69" s="3">
        <f t="shared" si="15"/>
        <v>3439.4344999999998</v>
      </c>
      <c r="U69" s="3">
        <f t="shared" si="16"/>
        <v>3439.4344999999998</v>
      </c>
      <c r="V69" s="3">
        <f t="shared" si="17"/>
        <v>3439.4344999999998</v>
      </c>
      <c r="W69" s="3">
        <f t="shared" si="18"/>
        <v>3439.4344999999998</v>
      </c>
      <c r="X69" s="3">
        <f t="shared" si="19"/>
        <v>3439.4344999999998</v>
      </c>
      <c r="Y69" s="25">
        <f t="shared" si="20"/>
        <v>0</v>
      </c>
      <c r="AI69">
        <v>1</v>
      </c>
      <c r="AJ69">
        <v>0</v>
      </c>
      <c r="AK69">
        <f t="shared" si="21"/>
        <v>1</v>
      </c>
    </row>
    <row r="70" spans="1:37" x14ac:dyDescent="0.3">
      <c r="A70" s="9" t="s">
        <v>461</v>
      </c>
      <c r="B70" s="9" t="s">
        <v>415</v>
      </c>
      <c r="C70" s="9">
        <v>9</v>
      </c>
      <c r="D70" s="9">
        <v>9</v>
      </c>
      <c r="E70" s="10">
        <v>379.12515714</v>
      </c>
      <c r="F70" s="11">
        <f t="shared" si="13"/>
        <v>3412.1264142599998</v>
      </c>
      <c r="G70" s="9" t="s">
        <v>462</v>
      </c>
      <c r="H70" s="9" t="s">
        <v>9</v>
      </c>
      <c r="I70" s="10">
        <v>1</v>
      </c>
      <c r="J70" s="12">
        <f t="shared" si="12"/>
        <v>0.16666666666666666</v>
      </c>
      <c r="K70" s="10">
        <f t="shared" si="14"/>
        <v>54</v>
      </c>
      <c r="L70" s="9"/>
      <c r="M70" s="9"/>
      <c r="N70" s="9"/>
      <c r="O70">
        <v>9</v>
      </c>
      <c r="P70">
        <v>9</v>
      </c>
      <c r="Q70">
        <v>9</v>
      </c>
      <c r="R70">
        <v>7</v>
      </c>
      <c r="S70">
        <v>7</v>
      </c>
      <c r="T70" s="3">
        <f t="shared" si="15"/>
        <v>3412.1264142599998</v>
      </c>
      <c r="U70" s="3">
        <f t="shared" si="16"/>
        <v>3412.1264142599998</v>
      </c>
      <c r="V70" s="3">
        <f t="shared" si="17"/>
        <v>3412.1264142599998</v>
      </c>
      <c r="W70" s="3">
        <f t="shared" si="18"/>
        <v>2653.8760999800002</v>
      </c>
      <c r="X70" s="3">
        <f t="shared" si="19"/>
        <v>2653.8760999800002</v>
      </c>
      <c r="Y70" s="25">
        <f t="shared" si="20"/>
        <v>-758.25031427999966</v>
      </c>
      <c r="AI70">
        <v>7</v>
      </c>
      <c r="AJ70">
        <v>0</v>
      </c>
      <c r="AK70">
        <f t="shared" si="21"/>
        <v>7</v>
      </c>
    </row>
    <row r="71" spans="1:37" x14ac:dyDescent="0.3">
      <c r="A71" s="13" t="s">
        <v>534</v>
      </c>
      <c r="B71" s="13" t="s">
        <v>468</v>
      </c>
      <c r="C71" s="13">
        <v>1</v>
      </c>
      <c r="D71" s="13">
        <v>1</v>
      </c>
      <c r="E71" s="14">
        <v>3153.9332203099998</v>
      </c>
      <c r="F71" s="15">
        <f t="shared" si="13"/>
        <v>3153.9332203099998</v>
      </c>
      <c r="G71" s="13" t="s">
        <v>535</v>
      </c>
      <c r="H71" s="13" t="s">
        <v>9</v>
      </c>
      <c r="I71" s="14">
        <v>0</v>
      </c>
      <c r="J71" s="16">
        <f t="shared" si="12"/>
        <v>0</v>
      </c>
      <c r="K71" s="14" t="e">
        <f t="shared" si="14"/>
        <v>#DIV/0!</v>
      </c>
      <c r="L71" s="13"/>
      <c r="M71" s="13"/>
      <c r="N71" s="13"/>
      <c r="O71">
        <v>1</v>
      </c>
      <c r="P71">
        <v>1</v>
      </c>
      <c r="Q71">
        <v>1</v>
      </c>
      <c r="R71">
        <v>1</v>
      </c>
      <c r="S71">
        <v>1</v>
      </c>
      <c r="T71" s="3">
        <f t="shared" si="15"/>
        <v>3153.9332203099998</v>
      </c>
      <c r="U71" s="3">
        <f t="shared" si="16"/>
        <v>3153.9332203099998</v>
      </c>
      <c r="V71" s="3">
        <f t="shared" si="17"/>
        <v>3153.9332203099998</v>
      </c>
      <c r="W71" s="3">
        <f t="shared" si="18"/>
        <v>3153.9332203099998</v>
      </c>
      <c r="X71" s="3">
        <f t="shared" si="19"/>
        <v>3153.9332203099998</v>
      </c>
      <c r="Y71" s="25">
        <f t="shared" si="20"/>
        <v>0</v>
      </c>
      <c r="AI71">
        <v>1</v>
      </c>
      <c r="AJ71">
        <v>0</v>
      </c>
      <c r="AK71">
        <f t="shared" si="21"/>
        <v>1</v>
      </c>
    </row>
    <row r="72" spans="1:37" x14ac:dyDescent="0.3">
      <c r="A72" s="13" t="s">
        <v>48</v>
      </c>
      <c r="B72" s="13" t="s">
        <v>7</v>
      </c>
      <c r="C72" s="13">
        <v>6</v>
      </c>
      <c r="D72" s="13">
        <v>6</v>
      </c>
      <c r="E72" s="14">
        <v>512.66669999999999</v>
      </c>
      <c r="F72" s="15">
        <f t="shared" si="13"/>
        <v>3076.0001999999999</v>
      </c>
      <c r="G72" s="13" t="s">
        <v>49</v>
      </c>
      <c r="H72" s="13" t="s">
        <v>9</v>
      </c>
      <c r="I72" s="14">
        <v>0</v>
      </c>
      <c r="J72" s="16">
        <f t="shared" si="12"/>
        <v>0</v>
      </c>
      <c r="K72" s="14" t="e">
        <f t="shared" si="14"/>
        <v>#DIV/0!</v>
      </c>
      <c r="L72" s="13"/>
      <c r="M72" s="13"/>
      <c r="N72" s="13"/>
      <c r="O72">
        <v>6</v>
      </c>
      <c r="P72">
        <v>6</v>
      </c>
      <c r="Q72">
        <v>6</v>
      </c>
      <c r="R72">
        <v>6</v>
      </c>
      <c r="S72">
        <v>6</v>
      </c>
      <c r="T72" s="3">
        <f t="shared" si="15"/>
        <v>3076.0001999999999</v>
      </c>
      <c r="U72" s="3">
        <f t="shared" si="16"/>
        <v>3076.0001999999999</v>
      </c>
      <c r="V72" s="3">
        <f t="shared" si="17"/>
        <v>3076.0001999999999</v>
      </c>
      <c r="W72" s="3">
        <f t="shared" si="18"/>
        <v>3076.0001999999999</v>
      </c>
      <c r="X72" s="3">
        <f t="shared" si="19"/>
        <v>3076.0001999999999</v>
      </c>
      <c r="Y72" s="25">
        <f t="shared" si="20"/>
        <v>0</v>
      </c>
      <c r="AI72">
        <v>6</v>
      </c>
      <c r="AJ72">
        <v>0</v>
      </c>
      <c r="AK72">
        <f t="shared" si="21"/>
        <v>6</v>
      </c>
    </row>
    <row r="73" spans="1:37" x14ac:dyDescent="0.3">
      <c r="A73" s="13" t="s">
        <v>562</v>
      </c>
      <c r="B73" s="13" t="s">
        <v>468</v>
      </c>
      <c r="C73" s="13">
        <v>1</v>
      </c>
      <c r="D73" s="13">
        <v>1</v>
      </c>
      <c r="E73" s="14">
        <v>2974.5383999999999</v>
      </c>
      <c r="F73" s="15">
        <f t="shared" si="13"/>
        <v>2974.5383999999999</v>
      </c>
      <c r="G73" s="13" t="s">
        <v>563</v>
      </c>
      <c r="H73" s="13" t="s">
        <v>9</v>
      </c>
      <c r="I73" s="14">
        <v>0</v>
      </c>
      <c r="J73" s="16">
        <f t="shared" si="12"/>
        <v>0</v>
      </c>
      <c r="K73" s="14" t="e">
        <f t="shared" si="14"/>
        <v>#DIV/0!</v>
      </c>
      <c r="L73" s="13"/>
      <c r="M73" s="13"/>
      <c r="N73" s="13"/>
      <c r="O73">
        <v>1</v>
      </c>
      <c r="P73">
        <v>1</v>
      </c>
      <c r="Q73">
        <v>1</v>
      </c>
      <c r="R73">
        <v>1</v>
      </c>
      <c r="S73">
        <v>1</v>
      </c>
      <c r="T73" s="3">
        <f t="shared" si="15"/>
        <v>2974.5383999999999</v>
      </c>
      <c r="U73" s="3">
        <f t="shared" si="16"/>
        <v>2974.5383999999999</v>
      </c>
      <c r="V73" s="3">
        <f t="shared" si="17"/>
        <v>2974.5383999999999</v>
      </c>
      <c r="W73" s="3">
        <f t="shared" si="18"/>
        <v>2974.5383999999999</v>
      </c>
      <c r="X73" s="3">
        <f t="shared" si="19"/>
        <v>2974.5383999999999</v>
      </c>
      <c r="Y73" s="25">
        <f t="shared" si="20"/>
        <v>0</v>
      </c>
      <c r="AI73">
        <v>1</v>
      </c>
      <c r="AJ73">
        <v>0</v>
      </c>
      <c r="AK73">
        <f t="shared" si="21"/>
        <v>1</v>
      </c>
    </row>
    <row r="74" spans="1:37" x14ac:dyDescent="0.3">
      <c r="A74" s="13" t="s">
        <v>613</v>
      </c>
      <c r="B74" s="13" t="s">
        <v>565</v>
      </c>
      <c r="C74" s="13">
        <v>3</v>
      </c>
      <c r="D74" s="13">
        <v>3</v>
      </c>
      <c r="E74" s="14">
        <v>891.03530000000001</v>
      </c>
      <c r="F74" s="15">
        <f t="shared" si="13"/>
        <v>2673.1059</v>
      </c>
      <c r="G74" s="13" t="s">
        <v>614</v>
      </c>
      <c r="H74" s="13" t="s">
        <v>9</v>
      </c>
      <c r="I74" s="14">
        <v>0</v>
      </c>
      <c r="J74" s="16">
        <f t="shared" si="12"/>
        <v>0</v>
      </c>
      <c r="K74" s="14" t="e">
        <f t="shared" si="14"/>
        <v>#DIV/0!</v>
      </c>
      <c r="L74" s="13"/>
      <c r="M74" s="13"/>
      <c r="N74" s="13"/>
      <c r="O74">
        <v>3</v>
      </c>
      <c r="P74">
        <v>3</v>
      </c>
      <c r="Q74">
        <v>3</v>
      </c>
      <c r="R74">
        <v>3</v>
      </c>
      <c r="S74">
        <v>3</v>
      </c>
      <c r="T74" s="3">
        <f t="shared" si="15"/>
        <v>2673.1059</v>
      </c>
      <c r="U74" s="3">
        <f t="shared" si="16"/>
        <v>2673.1059</v>
      </c>
      <c r="V74" s="3">
        <f t="shared" si="17"/>
        <v>2673.1059</v>
      </c>
      <c r="W74" s="3">
        <f t="shared" si="18"/>
        <v>2673.1059</v>
      </c>
      <c r="X74" s="3">
        <f t="shared" si="19"/>
        <v>2673.1059</v>
      </c>
      <c r="Y74" s="25">
        <f t="shared" si="20"/>
        <v>0</v>
      </c>
      <c r="AI74">
        <v>3</v>
      </c>
      <c r="AJ74">
        <v>0</v>
      </c>
      <c r="AK74">
        <f t="shared" si="21"/>
        <v>3</v>
      </c>
    </row>
    <row r="75" spans="1:37" x14ac:dyDescent="0.3">
      <c r="A75" s="9" t="s">
        <v>583</v>
      </c>
      <c r="B75" s="9" t="s">
        <v>565</v>
      </c>
      <c r="C75" s="9">
        <f>58</f>
        <v>58</v>
      </c>
      <c r="D75" s="9">
        <v>48</v>
      </c>
      <c r="E75" s="10">
        <v>52.852317239999998</v>
      </c>
      <c r="F75" s="11">
        <f t="shared" si="13"/>
        <v>2536.91122752</v>
      </c>
      <c r="G75" s="9" t="s">
        <v>584</v>
      </c>
      <c r="H75" s="9" t="s">
        <v>9</v>
      </c>
      <c r="I75" s="10">
        <v>12</v>
      </c>
      <c r="J75" s="12">
        <f t="shared" si="12"/>
        <v>2</v>
      </c>
      <c r="K75" s="10">
        <f t="shared" si="14"/>
        <v>24</v>
      </c>
      <c r="L75" s="9"/>
      <c r="M75" s="9"/>
      <c r="N75" s="9"/>
      <c r="O75">
        <v>48</v>
      </c>
      <c r="P75">
        <v>47</v>
      </c>
      <c r="Q75">
        <v>45</v>
      </c>
      <c r="R75">
        <v>45</v>
      </c>
      <c r="S75">
        <v>42</v>
      </c>
      <c r="T75" s="3">
        <f t="shared" si="15"/>
        <v>2536.91122752</v>
      </c>
      <c r="U75" s="3">
        <f t="shared" si="16"/>
        <v>2484.05891028</v>
      </c>
      <c r="V75" s="3">
        <f t="shared" si="17"/>
        <v>2378.3542757999999</v>
      </c>
      <c r="W75" s="3">
        <f t="shared" si="18"/>
        <v>2378.3542757999999</v>
      </c>
      <c r="X75" s="3">
        <f t="shared" si="19"/>
        <v>2219.7973240799997</v>
      </c>
      <c r="Y75" s="25">
        <f t="shared" si="20"/>
        <v>-317.11390344000029</v>
      </c>
      <c r="AI75">
        <v>52</v>
      </c>
      <c r="AJ75">
        <v>10</v>
      </c>
      <c r="AK75">
        <f t="shared" si="21"/>
        <v>42</v>
      </c>
    </row>
    <row r="76" spans="1:37" x14ac:dyDescent="0.3">
      <c r="A76" s="13" t="s">
        <v>151</v>
      </c>
      <c r="B76" s="13" t="s">
        <v>109</v>
      </c>
      <c r="C76" s="13">
        <v>1</v>
      </c>
      <c r="D76" s="13">
        <v>1</v>
      </c>
      <c r="E76" s="14">
        <v>2405.17</v>
      </c>
      <c r="F76" s="15">
        <f t="shared" si="13"/>
        <v>2405.17</v>
      </c>
      <c r="G76" s="13" t="s">
        <v>152</v>
      </c>
      <c r="H76" s="13" t="s">
        <v>9</v>
      </c>
      <c r="I76" s="14">
        <v>0</v>
      </c>
      <c r="J76" s="16">
        <f t="shared" si="12"/>
        <v>0</v>
      </c>
      <c r="K76" s="14" t="e">
        <f t="shared" si="14"/>
        <v>#DIV/0!</v>
      </c>
      <c r="L76" s="13"/>
      <c r="M76" s="13"/>
      <c r="N76" s="13"/>
      <c r="O76">
        <v>1</v>
      </c>
      <c r="P76">
        <v>1</v>
      </c>
      <c r="Q76">
        <v>1</v>
      </c>
      <c r="R76">
        <v>1</v>
      </c>
      <c r="S76">
        <v>1</v>
      </c>
      <c r="T76" s="3">
        <f t="shared" si="15"/>
        <v>2405.17</v>
      </c>
      <c r="U76" s="3">
        <f t="shared" si="16"/>
        <v>2405.17</v>
      </c>
      <c r="V76" s="3">
        <f t="shared" si="17"/>
        <v>2405.17</v>
      </c>
      <c r="W76" s="3">
        <f t="shared" si="18"/>
        <v>2405.17</v>
      </c>
      <c r="X76" s="3">
        <f t="shared" si="19"/>
        <v>2405.17</v>
      </c>
      <c r="Y76" s="25">
        <f t="shared" si="20"/>
        <v>0</v>
      </c>
      <c r="AI76">
        <v>1</v>
      </c>
      <c r="AJ76">
        <v>0</v>
      </c>
      <c r="AK76">
        <f t="shared" si="21"/>
        <v>1</v>
      </c>
    </row>
    <row r="77" spans="1:37" x14ac:dyDescent="0.3">
      <c r="A77" s="13" t="s">
        <v>463</v>
      </c>
      <c r="B77" s="13" t="s">
        <v>415</v>
      </c>
      <c r="C77" s="13">
        <v>4</v>
      </c>
      <c r="D77" s="13">
        <v>4</v>
      </c>
      <c r="E77" s="14">
        <v>591.01350000000002</v>
      </c>
      <c r="F77" s="15">
        <f t="shared" si="13"/>
        <v>2364.0540000000001</v>
      </c>
      <c r="G77" s="13" t="s">
        <v>464</v>
      </c>
      <c r="H77" s="13" t="s">
        <v>9</v>
      </c>
      <c r="I77" s="14">
        <v>0</v>
      </c>
      <c r="J77" s="16">
        <f t="shared" si="12"/>
        <v>0</v>
      </c>
      <c r="K77" s="14" t="e">
        <f t="shared" si="14"/>
        <v>#DIV/0!</v>
      </c>
      <c r="L77" s="13"/>
      <c r="M77" s="13"/>
      <c r="N77" s="13"/>
      <c r="O77">
        <v>4</v>
      </c>
      <c r="P77">
        <v>4</v>
      </c>
      <c r="Q77">
        <v>4</v>
      </c>
      <c r="R77">
        <v>4</v>
      </c>
      <c r="S77">
        <v>4</v>
      </c>
      <c r="T77" s="3">
        <f t="shared" si="15"/>
        <v>2364.0540000000001</v>
      </c>
      <c r="U77" s="3">
        <f t="shared" si="16"/>
        <v>2364.0540000000001</v>
      </c>
      <c r="V77" s="3">
        <f t="shared" si="17"/>
        <v>2364.0540000000001</v>
      </c>
      <c r="W77" s="3">
        <f t="shared" si="18"/>
        <v>2364.0540000000001</v>
      </c>
      <c r="X77" s="3">
        <f t="shared" si="19"/>
        <v>2364.0540000000001</v>
      </c>
      <c r="Y77" s="25">
        <f t="shared" si="20"/>
        <v>0</v>
      </c>
      <c r="AI77">
        <v>4</v>
      </c>
      <c r="AJ77">
        <v>0</v>
      </c>
      <c r="AK77">
        <f t="shared" si="21"/>
        <v>4</v>
      </c>
    </row>
    <row r="78" spans="1:37" x14ac:dyDescent="0.3">
      <c r="A78" s="13" t="s">
        <v>139</v>
      </c>
      <c r="B78" s="13" t="s">
        <v>109</v>
      </c>
      <c r="C78" s="13">
        <v>1</v>
      </c>
      <c r="D78" s="13">
        <v>1</v>
      </c>
      <c r="E78" s="14">
        <v>2203.7930999999999</v>
      </c>
      <c r="F78" s="15">
        <f t="shared" si="13"/>
        <v>2203.7930999999999</v>
      </c>
      <c r="G78" s="13" t="s">
        <v>140</v>
      </c>
      <c r="H78" s="13" t="s">
        <v>9</v>
      </c>
      <c r="I78" s="14">
        <v>0</v>
      </c>
      <c r="J78" s="16">
        <f t="shared" si="12"/>
        <v>0</v>
      </c>
      <c r="K78" s="14" t="e">
        <f t="shared" si="14"/>
        <v>#DIV/0!</v>
      </c>
      <c r="L78" s="13"/>
      <c r="M78" s="13"/>
      <c r="N78" s="13"/>
      <c r="O78">
        <v>1</v>
      </c>
      <c r="P78">
        <v>1</v>
      </c>
      <c r="Q78">
        <v>1</v>
      </c>
      <c r="R78">
        <v>1</v>
      </c>
      <c r="S78">
        <v>1</v>
      </c>
      <c r="T78" s="3">
        <f t="shared" si="15"/>
        <v>2203.7930999999999</v>
      </c>
      <c r="U78" s="3">
        <f t="shared" si="16"/>
        <v>2203.7930999999999</v>
      </c>
      <c r="V78" s="3">
        <f t="shared" si="17"/>
        <v>2203.7930999999999</v>
      </c>
      <c r="W78" s="3">
        <f t="shared" si="18"/>
        <v>2203.7930999999999</v>
      </c>
      <c r="X78" s="3">
        <f t="shared" si="19"/>
        <v>2203.7930999999999</v>
      </c>
      <c r="Y78" s="25">
        <f t="shared" si="20"/>
        <v>0</v>
      </c>
      <c r="AI78">
        <v>1</v>
      </c>
      <c r="AJ78">
        <v>0</v>
      </c>
      <c r="AK78">
        <f t="shared" si="21"/>
        <v>1</v>
      </c>
    </row>
    <row r="79" spans="1:37" x14ac:dyDescent="0.3">
      <c r="A79" s="9" t="s">
        <v>101</v>
      </c>
      <c r="B79" s="9" t="s">
        <v>7</v>
      </c>
      <c r="C79" s="9">
        <f>21</f>
        <v>21</v>
      </c>
      <c r="D79" s="9">
        <v>15</v>
      </c>
      <c r="E79" s="10">
        <v>146.55311922999999</v>
      </c>
      <c r="F79" s="11">
        <f t="shared" si="13"/>
        <v>2198.2967884499999</v>
      </c>
      <c r="G79" s="9" t="s">
        <v>102</v>
      </c>
      <c r="H79" s="9" t="s">
        <v>9</v>
      </c>
      <c r="I79" s="10">
        <v>6</v>
      </c>
      <c r="J79" s="12">
        <f t="shared" si="12"/>
        <v>1</v>
      </c>
      <c r="K79" s="10">
        <f t="shared" si="14"/>
        <v>15</v>
      </c>
      <c r="L79" s="9"/>
      <c r="M79" s="9"/>
      <c r="N79" s="9"/>
      <c r="O79">
        <v>15</v>
      </c>
      <c r="P79">
        <v>15</v>
      </c>
      <c r="Q79">
        <v>15</v>
      </c>
      <c r="R79">
        <v>14</v>
      </c>
      <c r="S79">
        <v>14</v>
      </c>
      <c r="T79" s="3">
        <f t="shared" si="15"/>
        <v>2198.2967884499999</v>
      </c>
      <c r="U79" s="3">
        <f t="shared" si="16"/>
        <v>2198.2967884499999</v>
      </c>
      <c r="V79" s="3">
        <f t="shared" si="17"/>
        <v>2198.2967884499999</v>
      </c>
      <c r="W79" s="3">
        <f t="shared" si="18"/>
        <v>2051.7436692199999</v>
      </c>
      <c r="X79" s="3">
        <f t="shared" si="19"/>
        <v>2051.7436692199999</v>
      </c>
      <c r="Y79" s="25">
        <f t="shared" si="20"/>
        <v>-146.55311922999999</v>
      </c>
      <c r="AI79">
        <v>20</v>
      </c>
      <c r="AJ79">
        <v>6</v>
      </c>
      <c r="AK79">
        <f t="shared" si="21"/>
        <v>14</v>
      </c>
    </row>
    <row r="80" spans="1:37" x14ac:dyDescent="0.3">
      <c r="A80" s="9" t="s">
        <v>540</v>
      </c>
      <c r="B80" s="9" t="s">
        <v>468</v>
      </c>
      <c r="C80" s="9">
        <f>21</f>
        <v>21</v>
      </c>
      <c r="D80" s="9">
        <v>12</v>
      </c>
      <c r="E80" s="10">
        <v>181.90747826</v>
      </c>
      <c r="F80" s="11">
        <f t="shared" si="13"/>
        <v>2182.8897391199998</v>
      </c>
      <c r="G80" s="9" t="s">
        <v>541</v>
      </c>
      <c r="H80" s="9" t="s">
        <v>9</v>
      </c>
      <c r="I80" s="10">
        <v>5</v>
      </c>
      <c r="J80" s="12">
        <f t="shared" si="12"/>
        <v>0.83333333333333337</v>
      </c>
      <c r="K80" s="10">
        <f t="shared" si="14"/>
        <v>14.399999999999999</v>
      </c>
      <c r="L80" s="9"/>
      <c r="M80" s="17">
        <v>46042</v>
      </c>
      <c r="N80" s="9" t="s">
        <v>679</v>
      </c>
      <c r="O80">
        <v>12</v>
      </c>
      <c r="P80">
        <v>12</v>
      </c>
      <c r="Q80">
        <v>11</v>
      </c>
      <c r="R80">
        <v>10</v>
      </c>
      <c r="S80">
        <v>10</v>
      </c>
      <c r="T80" s="3">
        <f t="shared" si="15"/>
        <v>2182.8897391199998</v>
      </c>
      <c r="U80" s="3">
        <f t="shared" si="16"/>
        <v>2182.8897391199998</v>
      </c>
      <c r="V80" s="3">
        <f t="shared" si="17"/>
        <v>2000.98226086</v>
      </c>
      <c r="W80" s="3">
        <f t="shared" si="18"/>
        <v>1819.0747826000002</v>
      </c>
      <c r="X80" s="3">
        <f t="shared" si="19"/>
        <v>1819.0747826000002</v>
      </c>
      <c r="Y80" s="25">
        <f t="shared" si="20"/>
        <v>-363.81495651999967</v>
      </c>
      <c r="AI80">
        <v>19</v>
      </c>
      <c r="AJ80">
        <v>9</v>
      </c>
      <c r="AK80">
        <f t="shared" si="21"/>
        <v>10</v>
      </c>
    </row>
    <row r="81" spans="1:37" x14ac:dyDescent="0.3">
      <c r="A81" s="13" t="s">
        <v>137</v>
      </c>
      <c r="B81" s="13" t="s">
        <v>109</v>
      </c>
      <c r="C81" s="13">
        <v>1</v>
      </c>
      <c r="D81" s="13">
        <v>1</v>
      </c>
      <c r="E81" s="14">
        <v>1940.17</v>
      </c>
      <c r="F81" s="15">
        <f t="shared" si="13"/>
        <v>1940.17</v>
      </c>
      <c r="G81" s="13" t="s">
        <v>138</v>
      </c>
      <c r="H81" s="13" t="s">
        <v>9</v>
      </c>
      <c r="I81" s="14">
        <v>0</v>
      </c>
      <c r="J81" s="16">
        <f t="shared" si="12"/>
        <v>0</v>
      </c>
      <c r="K81" s="14" t="e">
        <f t="shared" si="14"/>
        <v>#DIV/0!</v>
      </c>
      <c r="L81" s="13"/>
      <c r="M81" s="13"/>
      <c r="N81" s="13"/>
      <c r="O81">
        <v>1</v>
      </c>
      <c r="P81">
        <v>1</v>
      </c>
      <c r="Q81">
        <v>1</v>
      </c>
      <c r="R81">
        <v>1</v>
      </c>
      <c r="S81">
        <v>1</v>
      </c>
      <c r="T81" s="3">
        <f t="shared" si="15"/>
        <v>1940.17</v>
      </c>
      <c r="U81" s="3">
        <f t="shared" si="16"/>
        <v>1940.17</v>
      </c>
      <c r="V81" s="3">
        <f t="shared" si="17"/>
        <v>1940.17</v>
      </c>
      <c r="W81" s="3">
        <f t="shared" si="18"/>
        <v>1940.17</v>
      </c>
      <c r="X81" s="3">
        <f t="shared" si="19"/>
        <v>1940.17</v>
      </c>
      <c r="Y81" s="25">
        <f t="shared" si="20"/>
        <v>0</v>
      </c>
      <c r="AI81">
        <v>1</v>
      </c>
      <c r="AJ81">
        <v>0</v>
      </c>
      <c r="AK81">
        <f t="shared" si="21"/>
        <v>1</v>
      </c>
    </row>
    <row r="82" spans="1:37" x14ac:dyDescent="0.3">
      <c r="A82" s="13" t="s">
        <v>143</v>
      </c>
      <c r="B82" s="13" t="s">
        <v>109</v>
      </c>
      <c r="C82" s="13">
        <v>1</v>
      </c>
      <c r="D82" s="13">
        <v>1</v>
      </c>
      <c r="E82" s="14">
        <v>1902.76</v>
      </c>
      <c r="F82" s="15">
        <f t="shared" si="13"/>
        <v>1902.76</v>
      </c>
      <c r="G82" s="13" t="s">
        <v>144</v>
      </c>
      <c r="H82" s="13" t="s">
        <v>9</v>
      </c>
      <c r="I82" s="14">
        <v>0</v>
      </c>
      <c r="J82" s="16">
        <f t="shared" ref="J82:J113" si="22">+I82/6</f>
        <v>0</v>
      </c>
      <c r="K82" s="14" t="e">
        <f t="shared" si="14"/>
        <v>#DIV/0!</v>
      </c>
      <c r="L82" s="13"/>
      <c r="M82" s="13"/>
      <c r="N82" s="13"/>
      <c r="O82">
        <v>1</v>
      </c>
      <c r="P82">
        <v>1</v>
      </c>
      <c r="Q82">
        <v>1</v>
      </c>
      <c r="R82">
        <v>1</v>
      </c>
      <c r="S82">
        <v>1</v>
      </c>
      <c r="T82" s="3">
        <f t="shared" si="15"/>
        <v>1902.76</v>
      </c>
      <c r="U82" s="3">
        <f t="shared" si="16"/>
        <v>1902.76</v>
      </c>
      <c r="V82" s="3">
        <f t="shared" si="17"/>
        <v>1902.76</v>
      </c>
      <c r="W82" s="3">
        <f t="shared" si="18"/>
        <v>1902.76</v>
      </c>
      <c r="X82" s="3">
        <f t="shared" si="19"/>
        <v>1902.76</v>
      </c>
      <c r="Y82" s="25">
        <f t="shared" si="20"/>
        <v>0</v>
      </c>
      <c r="AI82">
        <v>1</v>
      </c>
      <c r="AJ82">
        <v>0</v>
      </c>
      <c r="AK82">
        <f t="shared" si="21"/>
        <v>1</v>
      </c>
    </row>
    <row r="83" spans="1:37" x14ac:dyDescent="0.3">
      <c r="A83" s="13" t="s">
        <v>526</v>
      </c>
      <c r="B83" s="13" t="s">
        <v>468</v>
      </c>
      <c r="C83" s="13">
        <v>3</v>
      </c>
      <c r="D83" s="13">
        <v>3</v>
      </c>
      <c r="E83" s="14">
        <v>632.55809999999997</v>
      </c>
      <c r="F83" s="15">
        <f t="shared" si="13"/>
        <v>1897.6742999999999</v>
      </c>
      <c r="G83" s="13" t="s">
        <v>527</v>
      </c>
      <c r="H83" s="13" t="s">
        <v>9</v>
      </c>
      <c r="I83" s="14">
        <v>0</v>
      </c>
      <c r="J83" s="16">
        <f t="shared" si="22"/>
        <v>0</v>
      </c>
      <c r="K83" s="14" t="e">
        <f t="shared" si="14"/>
        <v>#DIV/0!</v>
      </c>
      <c r="L83" s="13"/>
      <c r="M83" s="13"/>
      <c r="N83" s="13"/>
      <c r="O83">
        <v>3</v>
      </c>
      <c r="P83">
        <v>3</v>
      </c>
      <c r="Q83">
        <v>3</v>
      </c>
      <c r="R83">
        <v>3</v>
      </c>
      <c r="S83">
        <v>3</v>
      </c>
      <c r="T83" s="3">
        <f t="shared" si="15"/>
        <v>1897.6742999999999</v>
      </c>
      <c r="U83" s="3">
        <f t="shared" si="16"/>
        <v>1897.6742999999999</v>
      </c>
      <c r="V83" s="3">
        <f t="shared" si="17"/>
        <v>1897.6742999999999</v>
      </c>
      <c r="W83" s="3">
        <f t="shared" si="18"/>
        <v>1897.6742999999999</v>
      </c>
      <c r="X83" s="3">
        <f t="shared" si="19"/>
        <v>1897.6742999999999</v>
      </c>
      <c r="Y83" s="25">
        <f t="shared" si="20"/>
        <v>0</v>
      </c>
      <c r="AI83">
        <v>3</v>
      </c>
      <c r="AJ83">
        <v>0</v>
      </c>
      <c r="AK83">
        <f t="shared" si="21"/>
        <v>3</v>
      </c>
    </row>
    <row r="84" spans="1:37" x14ac:dyDescent="0.3">
      <c r="A84" s="13" t="s">
        <v>419</v>
      </c>
      <c r="B84" s="13" t="s">
        <v>415</v>
      </c>
      <c r="C84" s="13">
        <v>1</v>
      </c>
      <c r="D84" s="13">
        <v>1</v>
      </c>
      <c r="E84" s="14">
        <v>1879.89</v>
      </c>
      <c r="F84" s="15">
        <f t="shared" si="13"/>
        <v>1879.89</v>
      </c>
      <c r="G84" s="13" t="s">
        <v>420</v>
      </c>
      <c r="H84" s="13" t="s">
        <v>9</v>
      </c>
      <c r="I84" s="14">
        <v>0</v>
      </c>
      <c r="J84" s="16">
        <f t="shared" si="22"/>
        <v>0</v>
      </c>
      <c r="K84" s="14" t="e">
        <f t="shared" si="14"/>
        <v>#DIV/0!</v>
      </c>
      <c r="L84" s="13"/>
      <c r="M84" s="13"/>
      <c r="N84" s="13"/>
      <c r="O84">
        <v>1</v>
      </c>
      <c r="P84">
        <v>1</v>
      </c>
      <c r="Q84">
        <v>1</v>
      </c>
      <c r="R84">
        <v>1</v>
      </c>
      <c r="S84">
        <v>1</v>
      </c>
      <c r="T84" s="3">
        <f t="shared" si="15"/>
        <v>1879.89</v>
      </c>
      <c r="U84" s="3">
        <f t="shared" si="16"/>
        <v>1879.89</v>
      </c>
      <c r="V84" s="3">
        <f t="shared" si="17"/>
        <v>1879.89</v>
      </c>
      <c r="W84" s="3">
        <f t="shared" si="18"/>
        <v>1879.89</v>
      </c>
      <c r="X84" s="3">
        <f t="shared" si="19"/>
        <v>1879.89</v>
      </c>
      <c r="Y84" s="25">
        <f t="shared" si="20"/>
        <v>0</v>
      </c>
      <c r="AI84">
        <v>1</v>
      </c>
      <c r="AJ84">
        <v>0</v>
      </c>
      <c r="AK84">
        <f t="shared" si="21"/>
        <v>1</v>
      </c>
    </row>
    <row r="85" spans="1:37" x14ac:dyDescent="0.3">
      <c r="A85" s="13" t="s">
        <v>398</v>
      </c>
      <c r="B85" s="13" t="s">
        <v>399</v>
      </c>
      <c r="C85" s="13">
        <v>1</v>
      </c>
      <c r="D85" s="13">
        <v>1</v>
      </c>
      <c r="E85" s="14">
        <v>1858.45815416</v>
      </c>
      <c r="F85" s="15">
        <f t="shared" si="13"/>
        <v>1858.45815416</v>
      </c>
      <c r="G85" s="13" t="s">
        <v>400</v>
      </c>
      <c r="H85" s="13" t="s">
        <v>9</v>
      </c>
      <c r="I85" s="14">
        <v>0</v>
      </c>
      <c r="J85" s="16">
        <f t="shared" si="22"/>
        <v>0</v>
      </c>
      <c r="K85" s="14" t="e">
        <f t="shared" si="14"/>
        <v>#DIV/0!</v>
      </c>
      <c r="L85" s="13"/>
      <c r="M85" s="13"/>
      <c r="N85" s="13"/>
      <c r="O85">
        <v>1</v>
      </c>
      <c r="P85">
        <v>1</v>
      </c>
      <c r="Q85">
        <v>1</v>
      </c>
      <c r="R85">
        <v>1</v>
      </c>
      <c r="S85">
        <v>1</v>
      </c>
      <c r="T85" s="3">
        <f t="shared" si="15"/>
        <v>1858.45815416</v>
      </c>
      <c r="U85" s="3">
        <f t="shared" si="16"/>
        <v>1858.45815416</v>
      </c>
      <c r="V85" s="3">
        <f t="shared" si="17"/>
        <v>1858.45815416</v>
      </c>
      <c r="W85" s="3">
        <f t="shared" si="18"/>
        <v>1858.45815416</v>
      </c>
      <c r="X85" s="3">
        <f t="shared" si="19"/>
        <v>1858.45815416</v>
      </c>
      <c r="Y85" s="25">
        <f t="shared" si="20"/>
        <v>0</v>
      </c>
      <c r="AI85">
        <v>1</v>
      </c>
      <c r="AJ85">
        <v>0</v>
      </c>
      <c r="AK85">
        <f t="shared" si="21"/>
        <v>1</v>
      </c>
    </row>
    <row r="86" spans="1:37" x14ac:dyDescent="0.3">
      <c r="A86" s="9" t="s">
        <v>44</v>
      </c>
      <c r="B86" s="9" t="s">
        <v>7</v>
      </c>
      <c r="C86" s="9">
        <f>41</f>
        <v>41</v>
      </c>
      <c r="D86" s="9">
        <v>19</v>
      </c>
      <c r="E86" s="10">
        <v>89.065065369999999</v>
      </c>
      <c r="F86" s="11">
        <f t="shared" si="13"/>
        <v>1692.2362420300001</v>
      </c>
      <c r="G86" s="9" t="s">
        <v>45</v>
      </c>
      <c r="H86" s="9" t="s">
        <v>9</v>
      </c>
      <c r="I86" s="10">
        <v>24</v>
      </c>
      <c r="J86" s="12">
        <f t="shared" si="22"/>
        <v>4</v>
      </c>
      <c r="K86" s="10">
        <f t="shared" si="14"/>
        <v>4.75</v>
      </c>
      <c r="L86" s="9"/>
      <c r="M86" s="9"/>
      <c r="N86" s="9"/>
      <c r="O86">
        <v>19</v>
      </c>
      <c r="P86">
        <v>17</v>
      </c>
      <c r="Q86">
        <v>16</v>
      </c>
      <c r="R86">
        <v>14</v>
      </c>
      <c r="S86">
        <v>14</v>
      </c>
      <c r="T86" s="3">
        <f t="shared" si="15"/>
        <v>1692.2362420300001</v>
      </c>
      <c r="U86" s="3">
        <f t="shared" si="16"/>
        <v>1514.1061112899999</v>
      </c>
      <c r="V86" s="3">
        <f t="shared" si="17"/>
        <v>1425.04104592</v>
      </c>
      <c r="W86" s="3">
        <f t="shared" si="18"/>
        <v>1246.9109151800001</v>
      </c>
      <c r="X86" s="3">
        <f t="shared" si="19"/>
        <v>1246.9109151800001</v>
      </c>
      <c r="Y86" s="25">
        <f t="shared" si="20"/>
        <v>-445.32532685000001</v>
      </c>
      <c r="AI86">
        <v>36</v>
      </c>
      <c r="AJ86">
        <v>22</v>
      </c>
      <c r="AK86">
        <f t="shared" si="21"/>
        <v>14</v>
      </c>
    </row>
    <row r="87" spans="1:37" x14ac:dyDescent="0.3">
      <c r="A87" s="13" t="s">
        <v>187</v>
      </c>
      <c r="B87" s="13" t="s">
        <v>183</v>
      </c>
      <c r="C87" s="13">
        <v>1</v>
      </c>
      <c r="D87" s="13">
        <v>1</v>
      </c>
      <c r="E87" s="14">
        <v>1621.587</v>
      </c>
      <c r="F87" s="15">
        <f t="shared" si="13"/>
        <v>1621.587</v>
      </c>
      <c r="G87" s="13" t="s">
        <v>188</v>
      </c>
      <c r="H87" s="13" t="s">
        <v>9</v>
      </c>
      <c r="I87" s="14">
        <v>0</v>
      </c>
      <c r="J87" s="16">
        <f t="shared" si="22"/>
        <v>0</v>
      </c>
      <c r="K87" s="14" t="e">
        <f t="shared" si="14"/>
        <v>#DIV/0!</v>
      </c>
      <c r="L87" s="13"/>
      <c r="M87" s="13"/>
      <c r="N87" s="13"/>
      <c r="O87">
        <v>1</v>
      </c>
      <c r="P87">
        <v>1</v>
      </c>
      <c r="Q87">
        <v>1</v>
      </c>
      <c r="R87">
        <v>1</v>
      </c>
      <c r="S87">
        <v>1</v>
      </c>
      <c r="T87" s="3">
        <f t="shared" si="15"/>
        <v>1621.587</v>
      </c>
      <c r="U87" s="3">
        <f t="shared" si="16"/>
        <v>1621.587</v>
      </c>
      <c r="V87" s="3">
        <f t="shared" si="17"/>
        <v>1621.587</v>
      </c>
      <c r="W87" s="3">
        <f t="shared" si="18"/>
        <v>1621.587</v>
      </c>
      <c r="X87" s="3">
        <f t="shared" si="19"/>
        <v>1621.587</v>
      </c>
      <c r="Y87" s="25">
        <f t="shared" si="20"/>
        <v>0</v>
      </c>
      <c r="AI87">
        <v>1</v>
      </c>
      <c r="AJ87">
        <v>0</v>
      </c>
      <c r="AK87">
        <f t="shared" si="21"/>
        <v>1</v>
      </c>
    </row>
    <row r="88" spans="1:37" x14ac:dyDescent="0.3">
      <c r="A88" s="13" t="s">
        <v>133</v>
      </c>
      <c r="B88" s="13" t="s">
        <v>109</v>
      </c>
      <c r="C88" s="13">
        <v>1</v>
      </c>
      <c r="D88" s="13">
        <v>1</v>
      </c>
      <c r="E88" s="14">
        <v>1598.11</v>
      </c>
      <c r="F88" s="15">
        <f t="shared" si="13"/>
        <v>1598.11</v>
      </c>
      <c r="G88" s="13" t="s">
        <v>134</v>
      </c>
      <c r="H88" s="13" t="s">
        <v>9</v>
      </c>
      <c r="I88" s="14">
        <v>0</v>
      </c>
      <c r="J88" s="16">
        <f t="shared" si="22"/>
        <v>0</v>
      </c>
      <c r="K88" s="14" t="e">
        <f t="shared" si="14"/>
        <v>#DIV/0!</v>
      </c>
      <c r="L88" s="13"/>
      <c r="M88" s="13"/>
      <c r="N88" s="13"/>
      <c r="O88">
        <v>1</v>
      </c>
      <c r="P88">
        <v>1</v>
      </c>
      <c r="Q88">
        <v>1</v>
      </c>
      <c r="R88">
        <v>1</v>
      </c>
      <c r="S88">
        <v>1</v>
      </c>
      <c r="T88" s="3">
        <f t="shared" si="15"/>
        <v>1598.11</v>
      </c>
      <c r="U88" s="3">
        <f t="shared" si="16"/>
        <v>1598.11</v>
      </c>
      <c r="V88" s="3">
        <f t="shared" si="17"/>
        <v>1598.11</v>
      </c>
      <c r="W88" s="3">
        <f t="shared" si="18"/>
        <v>1598.11</v>
      </c>
      <c r="X88" s="3">
        <f t="shared" si="19"/>
        <v>1598.11</v>
      </c>
      <c r="Y88" s="25">
        <f t="shared" si="20"/>
        <v>0</v>
      </c>
      <c r="AI88">
        <v>1</v>
      </c>
      <c r="AJ88">
        <v>0</v>
      </c>
      <c r="AK88">
        <f t="shared" si="21"/>
        <v>1</v>
      </c>
    </row>
    <row r="89" spans="1:37" x14ac:dyDescent="0.3">
      <c r="A89" s="13" t="s">
        <v>127</v>
      </c>
      <c r="B89" s="13" t="s">
        <v>109</v>
      </c>
      <c r="C89" s="13">
        <v>1</v>
      </c>
      <c r="D89" s="13">
        <v>1</v>
      </c>
      <c r="E89" s="14">
        <v>1595.43</v>
      </c>
      <c r="F89" s="15">
        <f t="shared" si="13"/>
        <v>1595.43</v>
      </c>
      <c r="G89" s="13" t="s">
        <v>128</v>
      </c>
      <c r="H89" s="13" t="s">
        <v>9</v>
      </c>
      <c r="I89" s="14">
        <v>0</v>
      </c>
      <c r="J89" s="16">
        <f t="shared" si="22"/>
        <v>0</v>
      </c>
      <c r="K89" s="14" t="e">
        <f t="shared" si="14"/>
        <v>#DIV/0!</v>
      </c>
      <c r="L89" s="13"/>
      <c r="M89" s="13"/>
      <c r="N89" s="13"/>
      <c r="O89">
        <v>1</v>
      </c>
      <c r="P89">
        <v>1</v>
      </c>
      <c r="Q89">
        <v>1</v>
      </c>
      <c r="R89">
        <v>1</v>
      </c>
      <c r="S89">
        <v>1</v>
      </c>
      <c r="T89" s="3">
        <f t="shared" si="15"/>
        <v>1595.43</v>
      </c>
      <c r="U89" s="3">
        <f t="shared" si="16"/>
        <v>1595.43</v>
      </c>
      <c r="V89" s="3">
        <f t="shared" si="17"/>
        <v>1595.43</v>
      </c>
      <c r="W89" s="3">
        <f t="shared" si="18"/>
        <v>1595.43</v>
      </c>
      <c r="X89" s="3">
        <f t="shared" si="19"/>
        <v>1595.43</v>
      </c>
      <c r="Y89" s="25">
        <f t="shared" si="20"/>
        <v>0</v>
      </c>
      <c r="AI89">
        <v>1</v>
      </c>
      <c r="AJ89">
        <v>0</v>
      </c>
      <c r="AK89">
        <f t="shared" si="21"/>
        <v>1</v>
      </c>
    </row>
    <row r="90" spans="1:37" x14ac:dyDescent="0.3">
      <c r="A90" s="13" t="s">
        <v>528</v>
      </c>
      <c r="B90" s="13" t="s">
        <v>468</v>
      </c>
      <c r="C90" s="13">
        <v>1</v>
      </c>
      <c r="D90" s="13">
        <v>1</v>
      </c>
      <c r="E90" s="14">
        <v>1487.2692</v>
      </c>
      <c r="F90" s="15">
        <f t="shared" si="13"/>
        <v>1487.2692</v>
      </c>
      <c r="G90" s="13" t="s">
        <v>529</v>
      </c>
      <c r="H90" s="13" t="s">
        <v>9</v>
      </c>
      <c r="I90" s="14">
        <v>0</v>
      </c>
      <c r="J90" s="16">
        <f t="shared" si="22"/>
        <v>0</v>
      </c>
      <c r="K90" s="14" t="e">
        <f t="shared" si="14"/>
        <v>#DIV/0!</v>
      </c>
      <c r="L90" s="13"/>
      <c r="M90" s="13"/>
      <c r="N90" s="13"/>
      <c r="O90">
        <v>1</v>
      </c>
      <c r="P90">
        <v>1</v>
      </c>
      <c r="Q90">
        <v>1</v>
      </c>
      <c r="R90">
        <v>1</v>
      </c>
      <c r="S90">
        <v>1</v>
      </c>
      <c r="T90" s="3">
        <f t="shared" si="15"/>
        <v>1487.2692</v>
      </c>
      <c r="U90" s="3">
        <f t="shared" si="16"/>
        <v>1487.2692</v>
      </c>
      <c r="V90" s="3">
        <f t="shared" si="17"/>
        <v>1487.2692</v>
      </c>
      <c r="W90" s="3">
        <f t="shared" si="18"/>
        <v>1487.2692</v>
      </c>
      <c r="X90" s="3">
        <f t="shared" si="19"/>
        <v>1487.2692</v>
      </c>
      <c r="Y90" s="25">
        <f t="shared" si="20"/>
        <v>0</v>
      </c>
      <c r="AI90">
        <v>1</v>
      </c>
      <c r="AJ90">
        <v>0</v>
      </c>
      <c r="AK90">
        <f t="shared" si="21"/>
        <v>1</v>
      </c>
    </row>
    <row r="91" spans="1:37" x14ac:dyDescent="0.3">
      <c r="A91" s="13" t="s">
        <v>111</v>
      </c>
      <c r="B91" s="13" t="s">
        <v>109</v>
      </c>
      <c r="C91" s="13">
        <v>1</v>
      </c>
      <c r="D91" s="13">
        <v>1</v>
      </c>
      <c r="E91" s="14">
        <v>1282.76</v>
      </c>
      <c r="F91" s="15">
        <f t="shared" si="13"/>
        <v>1282.76</v>
      </c>
      <c r="G91" s="13" t="s">
        <v>112</v>
      </c>
      <c r="H91" s="13" t="s">
        <v>9</v>
      </c>
      <c r="I91" s="14">
        <v>0</v>
      </c>
      <c r="J91" s="16">
        <f t="shared" si="22"/>
        <v>0</v>
      </c>
      <c r="K91" s="14" t="e">
        <f t="shared" si="14"/>
        <v>#DIV/0!</v>
      </c>
      <c r="L91" s="13"/>
      <c r="M91" s="13"/>
      <c r="N91" s="13"/>
      <c r="O91">
        <v>1</v>
      </c>
      <c r="P91">
        <v>1</v>
      </c>
      <c r="Q91">
        <v>1</v>
      </c>
      <c r="R91">
        <v>1</v>
      </c>
      <c r="S91">
        <v>1</v>
      </c>
      <c r="T91" s="3">
        <f t="shared" si="15"/>
        <v>1282.76</v>
      </c>
      <c r="U91" s="3">
        <f t="shared" si="16"/>
        <v>1282.76</v>
      </c>
      <c r="V91" s="3">
        <f t="shared" si="17"/>
        <v>1282.76</v>
      </c>
      <c r="W91" s="3">
        <f t="shared" si="18"/>
        <v>1282.76</v>
      </c>
      <c r="X91" s="3">
        <f t="shared" si="19"/>
        <v>1282.76</v>
      </c>
      <c r="Y91" s="25">
        <f t="shared" si="20"/>
        <v>0</v>
      </c>
      <c r="AI91">
        <v>1</v>
      </c>
      <c r="AJ91">
        <v>0</v>
      </c>
      <c r="AK91">
        <f t="shared" si="21"/>
        <v>1</v>
      </c>
    </row>
    <row r="92" spans="1:37" x14ac:dyDescent="0.3">
      <c r="A92" s="13" t="s">
        <v>147</v>
      </c>
      <c r="B92" s="13" t="s">
        <v>109</v>
      </c>
      <c r="C92" s="13">
        <v>1</v>
      </c>
      <c r="D92" s="13">
        <v>1</v>
      </c>
      <c r="E92" s="14">
        <v>1229.31</v>
      </c>
      <c r="F92" s="15">
        <f t="shared" si="13"/>
        <v>1229.31</v>
      </c>
      <c r="G92" s="13" t="s">
        <v>148</v>
      </c>
      <c r="H92" s="13" t="s">
        <v>9</v>
      </c>
      <c r="I92" s="14">
        <v>0</v>
      </c>
      <c r="J92" s="16">
        <f t="shared" si="22"/>
        <v>0</v>
      </c>
      <c r="K92" s="14" t="e">
        <f t="shared" si="14"/>
        <v>#DIV/0!</v>
      </c>
      <c r="L92" s="13"/>
      <c r="M92" s="13"/>
      <c r="N92" s="13"/>
      <c r="O92">
        <v>1</v>
      </c>
      <c r="P92">
        <v>1</v>
      </c>
      <c r="Q92">
        <v>1</v>
      </c>
      <c r="R92">
        <v>1</v>
      </c>
      <c r="S92">
        <v>1</v>
      </c>
      <c r="T92" s="3">
        <f t="shared" si="15"/>
        <v>1229.31</v>
      </c>
      <c r="U92" s="3">
        <f t="shared" si="16"/>
        <v>1229.31</v>
      </c>
      <c r="V92" s="3">
        <f t="shared" si="17"/>
        <v>1229.31</v>
      </c>
      <c r="W92" s="3">
        <f t="shared" si="18"/>
        <v>1229.31</v>
      </c>
      <c r="X92" s="3">
        <f t="shared" si="19"/>
        <v>1229.31</v>
      </c>
      <c r="Y92" s="25">
        <f t="shared" si="20"/>
        <v>0</v>
      </c>
      <c r="AI92">
        <v>1</v>
      </c>
      <c r="AJ92">
        <v>0</v>
      </c>
      <c r="AK92">
        <f t="shared" si="21"/>
        <v>1</v>
      </c>
    </row>
    <row r="93" spans="1:37" x14ac:dyDescent="0.3">
      <c r="A93" s="9" t="s">
        <v>56</v>
      </c>
      <c r="B93" s="9" t="s">
        <v>7</v>
      </c>
      <c r="C93" s="9">
        <f>14</f>
        <v>14</v>
      </c>
      <c r="D93" s="9">
        <v>9</v>
      </c>
      <c r="E93" s="10">
        <v>135.32158654</v>
      </c>
      <c r="F93" s="11">
        <f t="shared" si="13"/>
        <v>1217.89427886</v>
      </c>
      <c r="G93" s="9" t="s">
        <v>57</v>
      </c>
      <c r="H93" s="9" t="s">
        <v>9</v>
      </c>
      <c r="I93" s="10">
        <v>6</v>
      </c>
      <c r="J93" s="12">
        <f t="shared" si="22"/>
        <v>1</v>
      </c>
      <c r="K93" s="10">
        <f t="shared" si="14"/>
        <v>9</v>
      </c>
      <c r="L93" s="9"/>
      <c r="M93" s="9"/>
      <c r="N93" s="9"/>
      <c r="O93">
        <v>9</v>
      </c>
      <c r="P93">
        <v>9</v>
      </c>
      <c r="Q93">
        <v>9</v>
      </c>
      <c r="R93">
        <v>9</v>
      </c>
      <c r="S93">
        <v>9</v>
      </c>
      <c r="T93" s="3">
        <f t="shared" si="15"/>
        <v>1217.89427886</v>
      </c>
      <c r="U93" s="3">
        <f t="shared" si="16"/>
        <v>1217.89427886</v>
      </c>
      <c r="V93" s="3">
        <f t="shared" si="17"/>
        <v>1217.89427886</v>
      </c>
      <c r="W93" s="3">
        <f t="shared" si="18"/>
        <v>1217.89427886</v>
      </c>
      <c r="X93" s="3">
        <f t="shared" si="19"/>
        <v>1217.89427886</v>
      </c>
      <c r="Y93" s="25">
        <f t="shared" si="20"/>
        <v>0</v>
      </c>
      <c r="AI93">
        <v>14</v>
      </c>
      <c r="AJ93">
        <v>5</v>
      </c>
      <c r="AK93">
        <f t="shared" si="21"/>
        <v>9</v>
      </c>
    </row>
    <row r="94" spans="1:37" x14ac:dyDescent="0.3">
      <c r="A94" s="13" t="s">
        <v>485</v>
      </c>
      <c r="B94" s="13" t="s">
        <v>468</v>
      </c>
      <c r="C94" s="13">
        <v>3</v>
      </c>
      <c r="D94" s="13">
        <v>3</v>
      </c>
      <c r="E94" s="14">
        <v>383.19</v>
      </c>
      <c r="F94" s="15">
        <f t="shared" si="13"/>
        <v>1149.57</v>
      </c>
      <c r="G94" s="13" t="s">
        <v>486</v>
      </c>
      <c r="H94" s="13" t="s">
        <v>9</v>
      </c>
      <c r="I94" s="14">
        <v>0</v>
      </c>
      <c r="J94" s="16">
        <f t="shared" si="22"/>
        <v>0</v>
      </c>
      <c r="K94" s="14" t="e">
        <f t="shared" si="14"/>
        <v>#DIV/0!</v>
      </c>
      <c r="L94" s="13"/>
      <c r="M94" s="13"/>
      <c r="N94" s="13"/>
      <c r="O94">
        <v>3</v>
      </c>
      <c r="P94">
        <v>3</v>
      </c>
      <c r="Q94">
        <v>3</v>
      </c>
      <c r="R94">
        <v>3</v>
      </c>
      <c r="S94">
        <v>3</v>
      </c>
      <c r="T94" s="3">
        <f t="shared" si="15"/>
        <v>1149.57</v>
      </c>
      <c r="U94" s="3">
        <f t="shared" si="16"/>
        <v>1149.57</v>
      </c>
      <c r="V94" s="3">
        <f t="shared" si="17"/>
        <v>1149.57</v>
      </c>
      <c r="W94" s="3">
        <f t="shared" si="18"/>
        <v>1149.57</v>
      </c>
      <c r="X94" s="3">
        <f t="shared" si="19"/>
        <v>1149.57</v>
      </c>
      <c r="Y94" s="25">
        <f t="shared" si="20"/>
        <v>0</v>
      </c>
      <c r="AI94">
        <v>3</v>
      </c>
      <c r="AJ94">
        <v>0</v>
      </c>
      <c r="AK94">
        <f t="shared" si="21"/>
        <v>3</v>
      </c>
    </row>
    <row r="95" spans="1:37" x14ac:dyDescent="0.3">
      <c r="A95" s="13" t="s">
        <v>108</v>
      </c>
      <c r="B95" s="13" t="s">
        <v>109</v>
      </c>
      <c r="C95" s="13">
        <v>1</v>
      </c>
      <c r="D95" s="13">
        <v>1</v>
      </c>
      <c r="E95" s="14">
        <v>1122.4100000000001</v>
      </c>
      <c r="F95" s="15">
        <f t="shared" si="13"/>
        <v>1122.4100000000001</v>
      </c>
      <c r="G95" s="13" t="s">
        <v>110</v>
      </c>
      <c r="H95" s="13" t="s">
        <v>9</v>
      </c>
      <c r="I95" s="14">
        <v>0</v>
      </c>
      <c r="J95" s="16">
        <f t="shared" si="22"/>
        <v>0</v>
      </c>
      <c r="K95" s="14" t="e">
        <f t="shared" si="14"/>
        <v>#DIV/0!</v>
      </c>
      <c r="L95" s="13"/>
      <c r="M95" s="13"/>
      <c r="N95" s="13"/>
      <c r="O95">
        <v>1</v>
      </c>
      <c r="P95">
        <v>1</v>
      </c>
      <c r="Q95">
        <v>1</v>
      </c>
      <c r="R95">
        <v>1</v>
      </c>
      <c r="S95">
        <v>1</v>
      </c>
      <c r="T95" s="3">
        <f t="shared" si="15"/>
        <v>1122.4100000000001</v>
      </c>
      <c r="U95" s="3">
        <f t="shared" si="16"/>
        <v>1122.4100000000001</v>
      </c>
      <c r="V95" s="3">
        <f t="shared" si="17"/>
        <v>1122.4100000000001</v>
      </c>
      <c r="W95" s="3">
        <f t="shared" si="18"/>
        <v>1122.4100000000001</v>
      </c>
      <c r="X95" s="3">
        <f t="shared" si="19"/>
        <v>1122.4100000000001</v>
      </c>
      <c r="Y95" s="25">
        <f t="shared" si="20"/>
        <v>0</v>
      </c>
      <c r="AI95">
        <v>1</v>
      </c>
      <c r="AJ95">
        <v>0</v>
      </c>
      <c r="AK95">
        <f t="shared" si="21"/>
        <v>1</v>
      </c>
    </row>
    <row r="96" spans="1:37" x14ac:dyDescent="0.3">
      <c r="A96" s="13" t="s">
        <v>125</v>
      </c>
      <c r="B96" s="13" t="s">
        <v>109</v>
      </c>
      <c r="C96" s="13">
        <v>1</v>
      </c>
      <c r="D96" s="13">
        <v>1</v>
      </c>
      <c r="E96" s="14">
        <v>1122.345</v>
      </c>
      <c r="F96" s="15">
        <f t="shared" si="13"/>
        <v>1122.345</v>
      </c>
      <c r="G96" s="13" t="s">
        <v>126</v>
      </c>
      <c r="H96" s="13" t="s">
        <v>9</v>
      </c>
      <c r="I96" s="14">
        <v>0</v>
      </c>
      <c r="J96" s="16">
        <f t="shared" si="22"/>
        <v>0</v>
      </c>
      <c r="K96" s="14" t="e">
        <f t="shared" si="14"/>
        <v>#DIV/0!</v>
      </c>
      <c r="L96" s="13"/>
      <c r="M96" s="13"/>
      <c r="N96" s="13"/>
      <c r="O96">
        <v>1</v>
      </c>
      <c r="P96">
        <v>1</v>
      </c>
      <c r="Q96">
        <v>1</v>
      </c>
      <c r="R96">
        <v>1</v>
      </c>
      <c r="S96">
        <v>1</v>
      </c>
      <c r="T96" s="3">
        <f t="shared" si="15"/>
        <v>1122.345</v>
      </c>
      <c r="U96" s="3">
        <f t="shared" si="16"/>
        <v>1122.345</v>
      </c>
      <c r="V96" s="3">
        <f t="shared" si="17"/>
        <v>1122.345</v>
      </c>
      <c r="W96" s="3">
        <f t="shared" si="18"/>
        <v>1122.345</v>
      </c>
      <c r="X96" s="3">
        <f t="shared" si="19"/>
        <v>1122.345</v>
      </c>
      <c r="Y96" s="25">
        <f t="shared" si="20"/>
        <v>0</v>
      </c>
      <c r="AI96">
        <v>1</v>
      </c>
      <c r="AJ96">
        <v>0</v>
      </c>
      <c r="AK96">
        <f t="shared" si="21"/>
        <v>1</v>
      </c>
    </row>
    <row r="97" spans="1:37" x14ac:dyDescent="0.3">
      <c r="A97" s="9" t="s">
        <v>571</v>
      </c>
      <c r="B97" s="9" t="s">
        <v>565</v>
      </c>
      <c r="C97" s="9">
        <f>58</f>
        <v>58</v>
      </c>
      <c r="D97" s="9">
        <v>8</v>
      </c>
      <c r="E97" s="10">
        <v>130.91882817000001</v>
      </c>
      <c r="F97" s="11">
        <f t="shared" si="13"/>
        <v>1047.3506253600001</v>
      </c>
      <c r="G97" s="9" t="s">
        <v>572</v>
      </c>
      <c r="H97" s="9" t="s">
        <v>9</v>
      </c>
      <c r="I97" s="10">
        <v>53</v>
      </c>
      <c r="J97" s="12">
        <f t="shared" si="22"/>
        <v>8.8333333333333339</v>
      </c>
      <c r="K97" s="10">
        <f t="shared" si="14"/>
        <v>0.90566037735849048</v>
      </c>
      <c r="L97" s="9"/>
      <c r="M97" s="9"/>
      <c r="N97" s="9"/>
      <c r="O97">
        <v>8</v>
      </c>
      <c r="P97">
        <v>8</v>
      </c>
      <c r="Q97">
        <v>7</v>
      </c>
      <c r="R97">
        <v>6</v>
      </c>
      <c r="S97">
        <v>5</v>
      </c>
      <c r="T97" s="3">
        <f t="shared" si="15"/>
        <v>1047.3506253600001</v>
      </c>
      <c r="U97" s="3">
        <f t="shared" si="16"/>
        <v>1047.3506253600001</v>
      </c>
      <c r="V97" s="3">
        <f t="shared" si="17"/>
        <v>916.43179719000011</v>
      </c>
      <c r="W97" s="3">
        <f t="shared" si="18"/>
        <v>785.51296902000013</v>
      </c>
      <c r="X97" s="3">
        <f t="shared" si="19"/>
        <v>654.59414085000003</v>
      </c>
      <c r="Y97" s="25">
        <f t="shared" si="20"/>
        <v>-392.75648451000006</v>
      </c>
      <c r="AI97">
        <v>55</v>
      </c>
      <c r="AJ97">
        <v>50</v>
      </c>
      <c r="AK97">
        <f t="shared" si="21"/>
        <v>5</v>
      </c>
    </row>
    <row r="98" spans="1:37" x14ac:dyDescent="0.3">
      <c r="A98" s="13" t="s">
        <v>532</v>
      </c>
      <c r="B98" s="13" t="s">
        <v>468</v>
      </c>
      <c r="C98" s="13">
        <v>4</v>
      </c>
      <c r="D98" s="13">
        <v>4</v>
      </c>
      <c r="E98" s="14">
        <v>243.4794</v>
      </c>
      <c r="F98" s="15">
        <f t="shared" ref="F98:F119" si="23">+D98*E98</f>
        <v>973.91759999999999</v>
      </c>
      <c r="G98" s="13" t="s">
        <v>533</v>
      </c>
      <c r="H98" s="13" t="s">
        <v>9</v>
      </c>
      <c r="I98" s="14">
        <v>0</v>
      </c>
      <c r="J98" s="16">
        <f t="shared" si="22"/>
        <v>0</v>
      </c>
      <c r="K98" s="14" t="e">
        <f t="shared" si="14"/>
        <v>#DIV/0!</v>
      </c>
      <c r="L98" s="13"/>
      <c r="M98" s="13"/>
      <c r="N98" s="13"/>
      <c r="O98">
        <v>4</v>
      </c>
      <c r="P98">
        <v>4</v>
      </c>
      <c r="Q98">
        <v>4</v>
      </c>
      <c r="R98">
        <v>4</v>
      </c>
      <c r="S98">
        <v>4</v>
      </c>
      <c r="T98" s="3">
        <f t="shared" si="15"/>
        <v>973.91759999999999</v>
      </c>
      <c r="U98" s="3">
        <f t="shared" si="16"/>
        <v>973.91759999999999</v>
      </c>
      <c r="V98" s="3">
        <f t="shared" si="17"/>
        <v>973.91759999999999</v>
      </c>
      <c r="W98" s="3">
        <f t="shared" si="18"/>
        <v>973.91759999999999</v>
      </c>
      <c r="X98" s="3">
        <f t="shared" si="19"/>
        <v>973.91759999999999</v>
      </c>
      <c r="Y98" s="25">
        <f t="shared" si="20"/>
        <v>0</v>
      </c>
      <c r="AI98">
        <v>4</v>
      </c>
      <c r="AJ98">
        <v>0</v>
      </c>
      <c r="AK98">
        <f t="shared" si="21"/>
        <v>4</v>
      </c>
    </row>
    <row r="99" spans="1:37" x14ac:dyDescent="0.3">
      <c r="A99" s="9" t="s">
        <v>664</v>
      </c>
      <c r="B99" s="9" t="s">
        <v>640</v>
      </c>
      <c r="C99" s="9">
        <v>5</v>
      </c>
      <c r="D99" s="9">
        <v>5</v>
      </c>
      <c r="E99" s="10">
        <v>172.41399999999999</v>
      </c>
      <c r="F99" s="11">
        <f t="shared" si="23"/>
        <v>862.06999999999994</v>
      </c>
      <c r="G99" s="9" t="s">
        <v>665</v>
      </c>
      <c r="H99" s="9" t="s">
        <v>9</v>
      </c>
      <c r="I99" s="10">
        <v>0</v>
      </c>
      <c r="J99" s="12">
        <f t="shared" si="22"/>
        <v>0</v>
      </c>
      <c r="K99" s="10" t="e">
        <f t="shared" si="14"/>
        <v>#DIV/0!</v>
      </c>
      <c r="L99" s="9"/>
      <c r="M99" s="17">
        <v>46036</v>
      </c>
      <c r="N99" s="9" t="s">
        <v>686</v>
      </c>
      <c r="O99">
        <v>5</v>
      </c>
      <c r="P99">
        <v>5</v>
      </c>
      <c r="Q99">
        <v>5</v>
      </c>
      <c r="R99">
        <v>5</v>
      </c>
      <c r="S99">
        <v>5</v>
      </c>
      <c r="T99" s="3">
        <f t="shared" si="15"/>
        <v>862.06999999999994</v>
      </c>
      <c r="U99" s="3">
        <f t="shared" si="16"/>
        <v>862.06999999999994</v>
      </c>
      <c r="V99" s="3">
        <f t="shared" si="17"/>
        <v>862.06999999999994</v>
      </c>
      <c r="W99" s="3">
        <f t="shared" si="18"/>
        <v>862.06999999999994</v>
      </c>
      <c r="X99" s="3">
        <f t="shared" si="19"/>
        <v>862.06999999999994</v>
      </c>
      <c r="Y99" s="25">
        <f t="shared" si="20"/>
        <v>0</v>
      </c>
      <c r="AI99">
        <v>5</v>
      </c>
      <c r="AJ99">
        <v>0</v>
      </c>
      <c r="AK99">
        <f t="shared" si="21"/>
        <v>5</v>
      </c>
    </row>
    <row r="100" spans="1:37" x14ac:dyDescent="0.3">
      <c r="A100" s="13" t="s">
        <v>417</v>
      </c>
      <c r="B100" s="13" t="s">
        <v>415</v>
      </c>
      <c r="C100" s="13">
        <v>1</v>
      </c>
      <c r="D100" s="13">
        <v>1</v>
      </c>
      <c r="E100" s="14">
        <v>842.4</v>
      </c>
      <c r="F100" s="15">
        <f t="shared" si="23"/>
        <v>842.4</v>
      </c>
      <c r="G100" s="13" t="s">
        <v>418</v>
      </c>
      <c r="H100" s="13" t="s">
        <v>9</v>
      </c>
      <c r="I100" s="14">
        <v>0</v>
      </c>
      <c r="J100" s="16">
        <f t="shared" si="22"/>
        <v>0</v>
      </c>
      <c r="K100" s="14" t="e">
        <f t="shared" si="14"/>
        <v>#DIV/0!</v>
      </c>
      <c r="L100" s="13"/>
      <c r="M100" s="13"/>
      <c r="N100" s="13"/>
      <c r="O100">
        <v>1</v>
      </c>
      <c r="P100">
        <v>1</v>
      </c>
      <c r="Q100">
        <v>1</v>
      </c>
      <c r="R100">
        <v>1</v>
      </c>
      <c r="S100">
        <v>1</v>
      </c>
      <c r="T100" s="3">
        <f t="shared" si="15"/>
        <v>842.4</v>
      </c>
      <c r="U100" s="3">
        <f t="shared" si="16"/>
        <v>842.4</v>
      </c>
      <c r="V100" s="3">
        <f t="shared" si="17"/>
        <v>842.4</v>
      </c>
      <c r="W100" s="3">
        <f t="shared" si="18"/>
        <v>842.4</v>
      </c>
      <c r="X100" s="3">
        <f t="shared" si="19"/>
        <v>842.4</v>
      </c>
      <c r="Y100" s="25">
        <f t="shared" si="20"/>
        <v>0</v>
      </c>
      <c r="AI100">
        <v>1</v>
      </c>
      <c r="AJ100">
        <v>0</v>
      </c>
      <c r="AK100">
        <f t="shared" si="21"/>
        <v>1</v>
      </c>
    </row>
    <row r="101" spans="1:37" x14ac:dyDescent="0.3">
      <c r="A101" s="13" t="s">
        <v>85</v>
      </c>
      <c r="B101" s="13" t="s">
        <v>7</v>
      </c>
      <c r="C101" s="13">
        <v>1</v>
      </c>
      <c r="D101" s="13">
        <v>1</v>
      </c>
      <c r="E101" s="14">
        <v>781.2</v>
      </c>
      <c r="F101" s="15">
        <f t="shared" si="23"/>
        <v>781.2</v>
      </c>
      <c r="G101" s="13" t="s">
        <v>86</v>
      </c>
      <c r="H101" s="13" t="s">
        <v>9</v>
      </c>
      <c r="I101" s="14">
        <v>0</v>
      </c>
      <c r="J101" s="16">
        <f t="shared" si="22"/>
        <v>0</v>
      </c>
      <c r="K101" s="14" t="e">
        <f t="shared" si="14"/>
        <v>#DIV/0!</v>
      </c>
      <c r="L101" s="13"/>
      <c r="M101" s="13"/>
      <c r="N101" s="13"/>
      <c r="O101">
        <v>1</v>
      </c>
      <c r="P101">
        <v>1</v>
      </c>
      <c r="Q101">
        <v>1</v>
      </c>
      <c r="R101">
        <v>1</v>
      </c>
      <c r="S101">
        <v>1</v>
      </c>
      <c r="T101" s="3">
        <f t="shared" si="15"/>
        <v>781.2</v>
      </c>
      <c r="U101" s="3">
        <f t="shared" si="16"/>
        <v>781.2</v>
      </c>
      <c r="V101" s="3">
        <f t="shared" si="17"/>
        <v>781.2</v>
      </c>
      <c r="W101" s="3">
        <f t="shared" si="18"/>
        <v>781.2</v>
      </c>
      <c r="X101" s="3">
        <f t="shared" si="19"/>
        <v>781.2</v>
      </c>
      <c r="Y101" s="25">
        <f t="shared" si="20"/>
        <v>0</v>
      </c>
      <c r="AI101">
        <v>1</v>
      </c>
      <c r="AJ101">
        <v>0</v>
      </c>
      <c r="AK101">
        <f t="shared" si="21"/>
        <v>1</v>
      </c>
    </row>
    <row r="102" spans="1:37" x14ac:dyDescent="0.3">
      <c r="A102" s="9" t="s">
        <v>431</v>
      </c>
      <c r="B102" s="9" t="s">
        <v>415</v>
      </c>
      <c r="C102" s="9">
        <v>2</v>
      </c>
      <c r="D102" s="9">
        <v>2</v>
      </c>
      <c r="E102" s="10">
        <v>388.78181818000002</v>
      </c>
      <c r="F102" s="11">
        <f t="shared" si="23"/>
        <v>777.56363636000003</v>
      </c>
      <c r="G102" s="9" t="s">
        <v>432</v>
      </c>
      <c r="H102" s="9" t="s">
        <v>9</v>
      </c>
      <c r="I102" s="10">
        <v>1</v>
      </c>
      <c r="J102" s="12">
        <f t="shared" si="22"/>
        <v>0.16666666666666666</v>
      </c>
      <c r="K102" s="10">
        <f t="shared" si="14"/>
        <v>12</v>
      </c>
      <c r="L102" s="9"/>
      <c r="M102" s="9"/>
      <c r="N102" s="9"/>
      <c r="O102">
        <v>2</v>
      </c>
      <c r="P102">
        <v>2</v>
      </c>
      <c r="Q102">
        <v>2</v>
      </c>
      <c r="R102">
        <v>1</v>
      </c>
      <c r="S102">
        <v>1</v>
      </c>
      <c r="T102" s="3">
        <f t="shared" si="15"/>
        <v>777.56363636000003</v>
      </c>
      <c r="U102" s="3">
        <f t="shared" si="16"/>
        <v>777.56363636000003</v>
      </c>
      <c r="V102" s="3">
        <f t="shared" si="17"/>
        <v>777.56363636000003</v>
      </c>
      <c r="W102" s="3">
        <f t="shared" si="18"/>
        <v>388.78181818000002</v>
      </c>
      <c r="X102" s="3">
        <f t="shared" si="19"/>
        <v>388.78181818000002</v>
      </c>
      <c r="Y102" s="25">
        <f t="shared" si="20"/>
        <v>-388.78181818000002</v>
      </c>
      <c r="AI102">
        <v>1</v>
      </c>
      <c r="AJ102">
        <v>0</v>
      </c>
      <c r="AK102">
        <f t="shared" si="21"/>
        <v>1</v>
      </c>
    </row>
    <row r="103" spans="1:37" x14ac:dyDescent="0.3">
      <c r="A103" s="13" t="s">
        <v>42</v>
      </c>
      <c r="B103" s="13" t="s">
        <v>7</v>
      </c>
      <c r="C103" s="13">
        <v>1</v>
      </c>
      <c r="D103" s="13">
        <v>1</v>
      </c>
      <c r="E103" s="14">
        <v>753.50930000000005</v>
      </c>
      <c r="F103" s="15">
        <f t="shared" si="23"/>
        <v>753.50930000000005</v>
      </c>
      <c r="G103" s="13" t="s">
        <v>43</v>
      </c>
      <c r="H103" s="13" t="s">
        <v>9</v>
      </c>
      <c r="I103" s="14">
        <v>0</v>
      </c>
      <c r="J103" s="16">
        <f t="shared" si="22"/>
        <v>0</v>
      </c>
      <c r="K103" s="14" t="e">
        <f t="shared" si="14"/>
        <v>#DIV/0!</v>
      </c>
      <c r="L103" s="13"/>
      <c r="M103" s="13"/>
      <c r="N103" s="13"/>
      <c r="O103">
        <v>1</v>
      </c>
      <c r="P103">
        <v>1</v>
      </c>
      <c r="Q103">
        <v>1</v>
      </c>
      <c r="R103">
        <v>1</v>
      </c>
      <c r="S103">
        <v>1</v>
      </c>
      <c r="T103" s="3">
        <f t="shared" si="15"/>
        <v>753.50930000000005</v>
      </c>
      <c r="U103" s="3">
        <f t="shared" si="16"/>
        <v>753.50930000000005</v>
      </c>
      <c r="V103" s="3">
        <f t="shared" si="17"/>
        <v>753.50930000000005</v>
      </c>
      <c r="W103" s="3">
        <f t="shared" si="18"/>
        <v>753.50930000000005</v>
      </c>
      <c r="X103" s="3">
        <f t="shared" si="19"/>
        <v>753.50930000000005</v>
      </c>
      <c r="Y103" s="25">
        <f t="shared" si="20"/>
        <v>0</v>
      </c>
      <c r="AI103">
        <v>1</v>
      </c>
      <c r="AJ103">
        <v>0</v>
      </c>
      <c r="AK103">
        <f t="shared" si="21"/>
        <v>1</v>
      </c>
    </row>
    <row r="104" spans="1:37" x14ac:dyDescent="0.3">
      <c r="A104" s="13" t="s">
        <v>180</v>
      </c>
      <c r="B104" s="13" t="s">
        <v>176</v>
      </c>
      <c r="C104" s="13">
        <v>13</v>
      </c>
      <c r="D104" s="13">
        <v>13</v>
      </c>
      <c r="E104" s="14">
        <v>57.758600000000001</v>
      </c>
      <c r="F104" s="15">
        <f t="shared" si="23"/>
        <v>750.86180000000002</v>
      </c>
      <c r="G104" s="13" t="s">
        <v>181</v>
      </c>
      <c r="H104" s="13" t="s">
        <v>9</v>
      </c>
      <c r="I104" s="14">
        <v>0</v>
      </c>
      <c r="J104" s="16">
        <f t="shared" si="22"/>
        <v>0</v>
      </c>
      <c r="K104" s="14" t="e">
        <f t="shared" si="14"/>
        <v>#DIV/0!</v>
      </c>
      <c r="L104" s="13"/>
      <c r="M104" s="13"/>
      <c r="N104" s="13"/>
      <c r="O104">
        <v>13</v>
      </c>
      <c r="P104">
        <v>13</v>
      </c>
      <c r="Q104">
        <v>13</v>
      </c>
      <c r="R104">
        <v>13</v>
      </c>
      <c r="S104">
        <v>13</v>
      </c>
      <c r="T104" s="3">
        <f t="shared" si="15"/>
        <v>750.86180000000002</v>
      </c>
      <c r="U104" s="3">
        <f t="shared" si="16"/>
        <v>750.86180000000002</v>
      </c>
      <c r="V104" s="3">
        <f t="shared" si="17"/>
        <v>750.86180000000002</v>
      </c>
      <c r="W104" s="3">
        <f t="shared" si="18"/>
        <v>750.86180000000002</v>
      </c>
      <c r="X104" s="3">
        <f t="shared" si="19"/>
        <v>750.86180000000002</v>
      </c>
      <c r="Y104" s="25">
        <f t="shared" si="20"/>
        <v>0</v>
      </c>
      <c r="AI104">
        <v>13</v>
      </c>
      <c r="AJ104">
        <v>0</v>
      </c>
      <c r="AK104">
        <f t="shared" si="21"/>
        <v>13</v>
      </c>
    </row>
    <row r="105" spans="1:37" x14ac:dyDescent="0.3">
      <c r="A105" s="9" t="s">
        <v>353</v>
      </c>
      <c r="B105" s="9" t="s">
        <v>347</v>
      </c>
      <c r="C105" s="9">
        <v>1</v>
      </c>
      <c r="D105" s="9">
        <v>1</v>
      </c>
      <c r="E105" s="10">
        <v>734.05</v>
      </c>
      <c r="F105" s="11">
        <f t="shared" si="23"/>
        <v>734.05</v>
      </c>
      <c r="G105" s="9" t="s">
        <v>354</v>
      </c>
      <c r="H105" s="9" t="s">
        <v>9</v>
      </c>
      <c r="I105" s="10">
        <v>0</v>
      </c>
      <c r="J105" s="12">
        <f t="shared" si="22"/>
        <v>0</v>
      </c>
      <c r="K105" s="10" t="e">
        <f t="shared" si="14"/>
        <v>#DIV/0!</v>
      </c>
      <c r="L105" s="9"/>
      <c r="M105" s="9"/>
      <c r="N105" s="9"/>
      <c r="O105">
        <v>1</v>
      </c>
      <c r="P105">
        <v>1</v>
      </c>
      <c r="Q105">
        <v>1</v>
      </c>
      <c r="R105">
        <v>1</v>
      </c>
      <c r="S105">
        <v>1</v>
      </c>
      <c r="T105" s="3">
        <f t="shared" si="15"/>
        <v>734.05</v>
      </c>
      <c r="U105" s="3">
        <f t="shared" si="16"/>
        <v>734.05</v>
      </c>
      <c r="V105" s="3">
        <f t="shared" si="17"/>
        <v>734.05</v>
      </c>
      <c r="W105" s="3">
        <f t="shared" si="18"/>
        <v>734.05</v>
      </c>
      <c r="X105" s="3">
        <f t="shared" si="19"/>
        <v>734.05</v>
      </c>
      <c r="Y105" s="25">
        <f t="shared" si="20"/>
        <v>0</v>
      </c>
      <c r="AI105">
        <v>1</v>
      </c>
      <c r="AJ105">
        <v>0</v>
      </c>
      <c r="AK105">
        <f t="shared" si="21"/>
        <v>1</v>
      </c>
    </row>
    <row r="106" spans="1:37" x14ac:dyDescent="0.3">
      <c r="A106" s="13" t="s">
        <v>611</v>
      </c>
      <c r="B106" s="13" t="s">
        <v>565</v>
      </c>
      <c r="C106" s="13">
        <v>2</v>
      </c>
      <c r="D106" s="13">
        <v>2</v>
      </c>
      <c r="E106" s="14">
        <v>338.76819999999998</v>
      </c>
      <c r="F106" s="15">
        <f t="shared" si="23"/>
        <v>677.53639999999996</v>
      </c>
      <c r="G106" s="13" t="s">
        <v>612</v>
      </c>
      <c r="H106" s="13" t="s">
        <v>9</v>
      </c>
      <c r="I106" s="14">
        <v>0</v>
      </c>
      <c r="J106" s="16">
        <f t="shared" si="22"/>
        <v>0</v>
      </c>
      <c r="K106" s="14" t="e">
        <f t="shared" si="14"/>
        <v>#DIV/0!</v>
      </c>
      <c r="L106" s="13"/>
      <c r="M106" s="13"/>
      <c r="N106" s="13"/>
      <c r="O106">
        <v>2</v>
      </c>
      <c r="P106">
        <v>2</v>
      </c>
      <c r="Q106">
        <v>2</v>
      </c>
      <c r="R106">
        <v>2</v>
      </c>
      <c r="S106">
        <v>2</v>
      </c>
      <c r="T106" s="3">
        <f t="shared" si="15"/>
        <v>677.53639999999996</v>
      </c>
      <c r="U106" s="3">
        <f t="shared" si="16"/>
        <v>677.53639999999996</v>
      </c>
      <c r="V106" s="3">
        <f t="shared" si="17"/>
        <v>677.53639999999996</v>
      </c>
      <c r="W106" s="3">
        <f t="shared" si="18"/>
        <v>677.53639999999996</v>
      </c>
      <c r="X106" s="3">
        <f t="shared" si="19"/>
        <v>677.53639999999996</v>
      </c>
      <c r="Y106" s="25">
        <f t="shared" si="20"/>
        <v>0</v>
      </c>
      <c r="AI106">
        <v>2</v>
      </c>
      <c r="AJ106">
        <v>0</v>
      </c>
      <c r="AK106">
        <f t="shared" si="21"/>
        <v>2</v>
      </c>
    </row>
    <row r="107" spans="1:37" x14ac:dyDescent="0.3">
      <c r="A107" s="13" t="s">
        <v>40</v>
      </c>
      <c r="B107" s="13" t="s">
        <v>7</v>
      </c>
      <c r="C107" s="13">
        <v>1</v>
      </c>
      <c r="D107" s="13">
        <v>1</v>
      </c>
      <c r="E107" s="14">
        <v>639.66240000000005</v>
      </c>
      <c r="F107" s="15">
        <f t="shared" si="23"/>
        <v>639.66240000000005</v>
      </c>
      <c r="G107" s="13" t="s">
        <v>41</v>
      </c>
      <c r="H107" s="13" t="s">
        <v>9</v>
      </c>
      <c r="I107" s="14">
        <v>0</v>
      </c>
      <c r="J107" s="16">
        <f t="shared" si="22"/>
        <v>0</v>
      </c>
      <c r="K107" s="14" t="e">
        <f t="shared" si="14"/>
        <v>#DIV/0!</v>
      </c>
      <c r="L107" s="13"/>
      <c r="M107" s="13"/>
      <c r="N107" s="13"/>
      <c r="O107">
        <v>1</v>
      </c>
      <c r="P107">
        <v>1</v>
      </c>
      <c r="Q107">
        <v>1</v>
      </c>
      <c r="R107">
        <v>1</v>
      </c>
      <c r="S107">
        <v>1</v>
      </c>
      <c r="T107" s="3">
        <f t="shared" si="15"/>
        <v>639.66240000000005</v>
      </c>
      <c r="U107" s="3">
        <f t="shared" si="16"/>
        <v>639.66240000000005</v>
      </c>
      <c r="V107" s="3">
        <f t="shared" si="17"/>
        <v>639.66240000000005</v>
      </c>
      <c r="W107" s="3">
        <f t="shared" si="18"/>
        <v>639.66240000000005</v>
      </c>
      <c r="X107" s="3">
        <f t="shared" si="19"/>
        <v>639.66240000000005</v>
      </c>
      <c r="Y107" s="25">
        <f t="shared" si="20"/>
        <v>0</v>
      </c>
      <c r="AI107">
        <v>1</v>
      </c>
      <c r="AJ107">
        <v>0</v>
      </c>
      <c r="AK107">
        <f t="shared" si="21"/>
        <v>1</v>
      </c>
    </row>
    <row r="108" spans="1:37" x14ac:dyDescent="0.3">
      <c r="A108" s="13" t="s">
        <v>97</v>
      </c>
      <c r="B108" s="13" t="s">
        <v>7</v>
      </c>
      <c r="C108" s="13">
        <v>1</v>
      </c>
      <c r="D108" s="13">
        <v>1</v>
      </c>
      <c r="E108" s="14">
        <v>604.407825</v>
      </c>
      <c r="F108" s="15">
        <f t="shared" si="23"/>
        <v>604.407825</v>
      </c>
      <c r="G108" s="13" t="s">
        <v>98</v>
      </c>
      <c r="H108" s="13" t="s">
        <v>9</v>
      </c>
      <c r="I108" s="14">
        <v>0</v>
      </c>
      <c r="J108" s="16">
        <f t="shared" si="22"/>
        <v>0</v>
      </c>
      <c r="K108" s="14" t="e">
        <f t="shared" si="14"/>
        <v>#DIV/0!</v>
      </c>
      <c r="L108" s="13"/>
      <c r="M108" s="13"/>
      <c r="N108" s="13"/>
      <c r="O108">
        <v>1</v>
      </c>
      <c r="P108">
        <v>1</v>
      </c>
      <c r="Q108">
        <v>1</v>
      </c>
      <c r="R108">
        <v>1</v>
      </c>
      <c r="S108">
        <v>1</v>
      </c>
      <c r="T108" s="3">
        <f t="shared" si="15"/>
        <v>604.407825</v>
      </c>
      <c r="U108" s="3">
        <f t="shared" si="16"/>
        <v>604.407825</v>
      </c>
      <c r="V108" s="3">
        <f t="shared" si="17"/>
        <v>604.407825</v>
      </c>
      <c r="W108" s="3">
        <f t="shared" si="18"/>
        <v>604.407825</v>
      </c>
      <c r="X108" s="3">
        <f t="shared" si="19"/>
        <v>604.407825</v>
      </c>
      <c r="Y108" s="25">
        <f t="shared" si="20"/>
        <v>0</v>
      </c>
      <c r="AI108">
        <v>1</v>
      </c>
      <c r="AJ108">
        <v>0</v>
      </c>
      <c r="AK108">
        <f t="shared" si="21"/>
        <v>1</v>
      </c>
    </row>
    <row r="109" spans="1:37" x14ac:dyDescent="0.3">
      <c r="A109" s="9" t="s">
        <v>406</v>
      </c>
      <c r="B109" s="9" t="s">
        <v>402</v>
      </c>
      <c r="C109" s="9">
        <f>9</f>
        <v>9</v>
      </c>
      <c r="D109" s="9">
        <v>4</v>
      </c>
      <c r="E109" s="10">
        <v>143.10079999999999</v>
      </c>
      <c r="F109" s="11">
        <f t="shared" si="23"/>
        <v>572.40319999999997</v>
      </c>
      <c r="G109" s="9" t="s">
        <v>407</v>
      </c>
      <c r="H109" s="9" t="s">
        <v>9</v>
      </c>
      <c r="I109" s="10">
        <v>5</v>
      </c>
      <c r="J109" s="12">
        <f t="shared" si="22"/>
        <v>0.83333333333333337</v>
      </c>
      <c r="K109" s="10">
        <f t="shared" si="14"/>
        <v>4.8</v>
      </c>
      <c r="L109" s="9"/>
      <c r="M109" s="9"/>
      <c r="N109" s="9"/>
      <c r="O109">
        <v>4</v>
      </c>
      <c r="P109">
        <v>4</v>
      </c>
      <c r="Q109">
        <v>4</v>
      </c>
      <c r="R109">
        <v>4</v>
      </c>
      <c r="S109">
        <v>4</v>
      </c>
      <c r="T109" s="3">
        <f t="shared" si="15"/>
        <v>572.40319999999997</v>
      </c>
      <c r="U109" s="3">
        <f t="shared" si="16"/>
        <v>572.40319999999997</v>
      </c>
      <c r="V109" s="3">
        <f t="shared" si="17"/>
        <v>572.40319999999997</v>
      </c>
      <c r="W109" s="3">
        <f t="shared" si="18"/>
        <v>572.40319999999997</v>
      </c>
      <c r="X109" s="3">
        <f t="shared" si="19"/>
        <v>572.40319999999997</v>
      </c>
      <c r="Y109" s="25">
        <f t="shared" si="20"/>
        <v>0</v>
      </c>
      <c r="AI109">
        <v>9</v>
      </c>
      <c r="AJ109">
        <v>5</v>
      </c>
      <c r="AK109">
        <f t="shared" si="21"/>
        <v>4</v>
      </c>
    </row>
    <row r="110" spans="1:37" x14ac:dyDescent="0.3">
      <c r="A110" s="13" t="s">
        <v>50</v>
      </c>
      <c r="B110" s="13" t="s">
        <v>7</v>
      </c>
      <c r="C110" s="13">
        <v>1</v>
      </c>
      <c r="D110" s="13">
        <v>1</v>
      </c>
      <c r="E110" s="14">
        <v>569.17219999999998</v>
      </c>
      <c r="F110" s="15">
        <f t="shared" si="23"/>
        <v>569.17219999999998</v>
      </c>
      <c r="G110" s="13" t="s">
        <v>51</v>
      </c>
      <c r="H110" s="13" t="s">
        <v>9</v>
      </c>
      <c r="I110" s="14">
        <v>0</v>
      </c>
      <c r="J110" s="16">
        <f t="shared" si="22"/>
        <v>0</v>
      </c>
      <c r="K110" s="14" t="e">
        <f t="shared" si="14"/>
        <v>#DIV/0!</v>
      </c>
      <c r="L110" s="13"/>
      <c r="M110" s="13"/>
      <c r="N110" s="13"/>
      <c r="O110">
        <v>1</v>
      </c>
      <c r="P110">
        <v>1</v>
      </c>
      <c r="Q110">
        <v>1</v>
      </c>
      <c r="R110">
        <v>1</v>
      </c>
      <c r="S110">
        <v>1</v>
      </c>
      <c r="T110" s="3">
        <f t="shared" si="15"/>
        <v>569.17219999999998</v>
      </c>
      <c r="U110" s="3">
        <f t="shared" si="16"/>
        <v>569.17219999999998</v>
      </c>
      <c r="V110" s="3">
        <f t="shared" si="17"/>
        <v>569.17219999999998</v>
      </c>
      <c r="W110" s="3">
        <f t="shared" si="18"/>
        <v>569.17219999999998</v>
      </c>
      <c r="X110" s="3">
        <f t="shared" si="19"/>
        <v>569.17219999999998</v>
      </c>
      <c r="Y110" s="25">
        <f t="shared" si="20"/>
        <v>0</v>
      </c>
      <c r="AI110">
        <v>1</v>
      </c>
      <c r="AJ110">
        <v>0</v>
      </c>
      <c r="AK110">
        <f t="shared" si="21"/>
        <v>1</v>
      </c>
    </row>
    <row r="111" spans="1:37" x14ac:dyDescent="0.3">
      <c r="A111" s="13" t="s">
        <v>433</v>
      </c>
      <c r="B111" s="13" t="s">
        <v>415</v>
      </c>
      <c r="C111" s="13">
        <v>1</v>
      </c>
      <c r="D111" s="13">
        <v>1</v>
      </c>
      <c r="E111" s="14">
        <v>522.00149999999996</v>
      </c>
      <c r="F111" s="15">
        <f t="shared" si="23"/>
        <v>522.00149999999996</v>
      </c>
      <c r="G111" s="13" t="s">
        <v>434</v>
      </c>
      <c r="H111" s="13" t="s">
        <v>9</v>
      </c>
      <c r="I111" s="14">
        <v>0</v>
      </c>
      <c r="J111" s="16">
        <f t="shared" si="22"/>
        <v>0</v>
      </c>
      <c r="K111" s="14" t="e">
        <f t="shared" si="14"/>
        <v>#DIV/0!</v>
      </c>
      <c r="L111" s="13"/>
      <c r="M111" s="13"/>
      <c r="N111" s="13"/>
      <c r="O111">
        <v>1</v>
      </c>
      <c r="P111">
        <v>1</v>
      </c>
      <c r="Q111">
        <v>1</v>
      </c>
      <c r="R111">
        <v>1</v>
      </c>
      <c r="S111">
        <v>1</v>
      </c>
      <c r="T111" s="3">
        <f t="shared" si="15"/>
        <v>522.00149999999996</v>
      </c>
      <c r="U111" s="3">
        <f t="shared" si="16"/>
        <v>522.00149999999996</v>
      </c>
      <c r="V111" s="3">
        <f t="shared" si="17"/>
        <v>522.00149999999996</v>
      </c>
      <c r="W111" s="3">
        <f t="shared" si="18"/>
        <v>522.00149999999996</v>
      </c>
      <c r="X111" s="3">
        <f t="shared" si="19"/>
        <v>522.00149999999996</v>
      </c>
      <c r="Y111" s="25">
        <f t="shared" si="20"/>
        <v>0</v>
      </c>
      <c r="AI111">
        <v>1</v>
      </c>
      <c r="AJ111">
        <v>0</v>
      </c>
      <c r="AK111">
        <f t="shared" si="21"/>
        <v>1</v>
      </c>
    </row>
    <row r="112" spans="1:37" x14ac:dyDescent="0.3">
      <c r="A112" s="13" t="s">
        <v>363</v>
      </c>
      <c r="B112" s="13" t="s">
        <v>347</v>
      </c>
      <c r="C112" s="13">
        <v>1</v>
      </c>
      <c r="D112" s="13">
        <v>1</v>
      </c>
      <c r="E112" s="14">
        <v>459.48</v>
      </c>
      <c r="F112" s="15">
        <f t="shared" si="23"/>
        <v>459.48</v>
      </c>
      <c r="G112" s="13" t="s">
        <v>364</v>
      </c>
      <c r="H112" s="13" t="s">
        <v>9</v>
      </c>
      <c r="I112" s="14">
        <v>0</v>
      </c>
      <c r="J112" s="16">
        <f t="shared" si="22"/>
        <v>0</v>
      </c>
      <c r="K112" s="14" t="e">
        <f t="shared" si="14"/>
        <v>#DIV/0!</v>
      </c>
      <c r="L112" s="13"/>
      <c r="M112" s="13"/>
      <c r="N112" s="13"/>
      <c r="O112">
        <v>1</v>
      </c>
      <c r="P112">
        <v>0</v>
      </c>
      <c r="Q112">
        <v>0</v>
      </c>
      <c r="R112">
        <v>0</v>
      </c>
      <c r="S112">
        <v>0</v>
      </c>
      <c r="T112" s="3">
        <f t="shared" si="15"/>
        <v>459.48</v>
      </c>
      <c r="U112" s="3">
        <f t="shared" si="16"/>
        <v>0</v>
      </c>
      <c r="V112" s="3">
        <f t="shared" si="17"/>
        <v>0</v>
      </c>
      <c r="W112" s="3">
        <f t="shared" si="18"/>
        <v>0</v>
      </c>
      <c r="X112" s="3">
        <f t="shared" si="19"/>
        <v>0</v>
      </c>
      <c r="Y112" s="25">
        <f t="shared" si="20"/>
        <v>-459.48</v>
      </c>
      <c r="AI112">
        <v>0</v>
      </c>
      <c r="AJ112">
        <v>0</v>
      </c>
      <c r="AK112">
        <f t="shared" si="21"/>
        <v>0</v>
      </c>
    </row>
    <row r="113" spans="1:37" x14ac:dyDescent="0.3">
      <c r="A113" s="13" t="s">
        <v>346</v>
      </c>
      <c r="B113" s="13" t="s">
        <v>347</v>
      </c>
      <c r="C113" s="13">
        <v>1</v>
      </c>
      <c r="D113" s="13">
        <v>1</v>
      </c>
      <c r="E113" s="14">
        <v>392.94</v>
      </c>
      <c r="F113" s="15">
        <f t="shared" si="23"/>
        <v>392.94</v>
      </c>
      <c r="G113" s="13" t="s">
        <v>348</v>
      </c>
      <c r="H113" s="13" t="s">
        <v>9</v>
      </c>
      <c r="I113" s="14">
        <v>0</v>
      </c>
      <c r="J113" s="16">
        <f t="shared" si="22"/>
        <v>0</v>
      </c>
      <c r="K113" s="14" t="e">
        <f t="shared" si="14"/>
        <v>#DIV/0!</v>
      </c>
      <c r="L113" s="13"/>
      <c r="M113" s="13"/>
      <c r="N113" s="13"/>
      <c r="O113">
        <v>1</v>
      </c>
      <c r="P113">
        <v>1</v>
      </c>
      <c r="Q113">
        <v>1</v>
      </c>
      <c r="R113">
        <v>1</v>
      </c>
      <c r="S113">
        <v>1</v>
      </c>
      <c r="T113" s="3">
        <f t="shared" si="15"/>
        <v>392.94</v>
      </c>
      <c r="U113" s="3">
        <f t="shared" si="16"/>
        <v>392.94</v>
      </c>
      <c r="V113" s="3">
        <f t="shared" si="17"/>
        <v>392.94</v>
      </c>
      <c r="W113" s="3">
        <f t="shared" si="18"/>
        <v>392.94</v>
      </c>
      <c r="X113" s="3">
        <f t="shared" si="19"/>
        <v>392.94</v>
      </c>
      <c r="Y113" s="25">
        <f t="shared" si="20"/>
        <v>0</v>
      </c>
      <c r="AI113">
        <v>1</v>
      </c>
      <c r="AJ113">
        <v>0</v>
      </c>
      <c r="AK113">
        <f t="shared" si="21"/>
        <v>1</v>
      </c>
    </row>
    <row r="114" spans="1:37" x14ac:dyDescent="0.3">
      <c r="A114" s="9" t="s">
        <v>609</v>
      </c>
      <c r="B114" s="9" t="s">
        <v>565</v>
      </c>
      <c r="C114" s="9">
        <v>3</v>
      </c>
      <c r="D114" s="9">
        <v>3</v>
      </c>
      <c r="E114" s="10">
        <v>116.3793</v>
      </c>
      <c r="F114" s="11">
        <f t="shared" si="23"/>
        <v>349.1379</v>
      </c>
      <c r="G114" s="9" t="s">
        <v>610</v>
      </c>
      <c r="H114" s="9" t="s">
        <v>9</v>
      </c>
      <c r="I114" s="10">
        <v>2</v>
      </c>
      <c r="J114" s="12">
        <f t="shared" ref="J114:J119" si="24">+I114/6</f>
        <v>0.33333333333333331</v>
      </c>
      <c r="K114" s="10">
        <f t="shared" si="14"/>
        <v>9</v>
      </c>
      <c r="L114" s="9"/>
      <c r="M114" s="9"/>
      <c r="N114" s="9"/>
      <c r="O114">
        <v>3</v>
      </c>
      <c r="P114">
        <v>3</v>
      </c>
      <c r="Q114">
        <v>3</v>
      </c>
      <c r="R114">
        <v>3</v>
      </c>
      <c r="S114">
        <v>3</v>
      </c>
      <c r="T114" s="3">
        <f t="shared" si="15"/>
        <v>349.1379</v>
      </c>
      <c r="U114" s="3">
        <f t="shared" si="16"/>
        <v>349.1379</v>
      </c>
      <c r="V114" s="3">
        <f t="shared" si="17"/>
        <v>349.1379</v>
      </c>
      <c r="W114" s="3">
        <f t="shared" si="18"/>
        <v>349.1379</v>
      </c>
      <c r="X114" s="3">
        <f t="shared" si="19"/>
        <v>349.1379</v>
      </c>
      <c r="Y114" s="25">
        <f t="shared" si="20"/>
        <v>0</v>
      </c>
      <c r="AI114">
        <v>3</v>
      </c>
      <c r="AJ114">
        <v>0</v>
      </c>
      <c r="AK114">
        <f t="shared" si="21"/>
        <v>3</v>
      </c>
    </row>
    <row r="115" spans="1:37" x14ac:dyDescent="0.3">
      <c r="A115" s="13" t="s">
        <v>467</v>
      </c>
      <c r="B115" s="13" t="s">
        <v>468</v>
      </c>
      <c r="C115" s="13">
        <v>7</v>
      </c>
      <c r="D115" s="13">
        <v>7</v>
      </c>
      <c r="E115" s="14">
        <v>43.103999999999999</v>
      </c>
      <c r="F115" s="15">
        <f t="shared" si="23"/>
        <v>301.72800000000001</v>
      </c>
      <c r="G115" s="13" t="s">
        <v>469</v>
      </c>
      <c r="H115" s="13" t="s">
        <v>9</v>
      </c>
      <c r="I115" s="14">
        <v>0</v>
      </c>
      <c r="J115" s="16">
        <f t="shared" si="24"/>
        <v>0</v>
      </c>
      <c r="K115" s="14" t="e">
        <f t="shared" si="14"/>
        <v>#DIV/0!</v>
      </c>
      <c r="L115" s="13"/>
      <c r="M115" s="13"/>
      <c r="N115" s="13"/>
      <c r="O115">
        <v>7</v>
      </c>
      <c r="P115">
        <v>7</v>
      </c>
      <c r="Q115">
        <v>7</v>
      </c>
      <c r="R115">
        <v>7</v>
      </c>
      <c r="S115">
        <v>7</v>
      </c>
      <c r="T115" s="3">
        <f t="shared" si="15"/>
        <v>301.72800000000001</v>
      </c>
      <c r="U115" s="3">
        <f t="shared" si="16"/>
        <v>301.72800000000001</v>
      </c>
      <c r="V115" s="3">
        <f t="shared" si="17"/>
        <v>301.72800000000001</v>
      </c>
      <c r="W115" s="3">
        <f t="shared" si="18"/>
        <v>301.72800000000001</v>
      </c>
      <c r="X115" s="3">
        <f t="shared" si="19"/>
        <v>301.72800000000001</v>
      </c>
      <c r="Y115" s="25">
        <f t="shared" si="20"/>
        <v>0</v>
      </c>
      <c r="AI115">
        <v>7</v>
      </c>
      <c r="AJ115">
        <v>0</v>
      </c>
      <c r="AK115">
        <f t="shared" si="21"/>
        <v>7</v>
      </c>
    </row>
    <row r="116" spans="1:37" x14ac:dyDescent="0.3">
      <c r="A116" s="13" t="s">
        <v>401</v>
      </c>
      <c r="B116" s="13" t="s">
        <v>402</v>
      </c>
      <c r="C116" s="13">
        <v>5</v>
      </c>
      <c r="D116" s="13">
        <v>5</v>
      </c>
      <c r="E116" s="14">
        <v>57</v>
      </c>
      <c r="F116" s="15">
        <f t="shared" si="23"/>
        <v>285</v>
      </c>
      <c r="G116" s="13" t="s">
        <v>403</v>
      </c>
      <c r="H116" s="13" t="s">
        <v>9</v>
      </c>
      <c r="I116" s="14">
        <v>0</v>
      </c>
      <c r="J116" s="16">
        <f t="shared" si="24"/>
        <v>0</v>
      </c>
      <c r="K116" s="14" t="e">
        <f t="shared" si="14"/>
        <v>#DIV/0!</v>
      </c>
      <c r="L116" s="13"/>
      <c r="M116" s="13"/>
      <c r="N116" s="13"/>
      <c r="O116">
        <v>5</v>
      </c>
      <c r="P116">
        <v>5</v>
      </c>
      <c r="Q116">
        <v>5</v>
      </c>
      <c r="R116">
        <v>5</v>
      </c>
      <c r="S116">
        <v>5</v>
      </c>
      <c r="T116" s="3">
        <f t="shared" si="15"/>
        <v>285</v>
      </c>
      <c r="U116" s="3">
        <f t="shared" si="16"/>
        <v>285</v>
      </c>
      <c r="V116" s="3">
        <f t="shared" si="17"/>
        <v>285</v>
      </c>
      <c r="W116" s="3">
        <f t="shared" si="18"/>
        <v>285</v>
      </c>
      <c r="X116" s="3">
        <f t="shared" si="19"/>
        <v>285</v>
      </c>
      <c r="Y116" s="25">
        <f t="shared" si="20"/>
        <v>0</v>
      </c>
      <c r="AI116">
        <v>5</v>
      </c>
      <c r="AJ116">
        <v>0</v>
      </c>
      <c r="AK116">
        <f t="shared" si="21"/>
        <v>5</v>
      </c>
    </row>
    <row r="117" spans="1:37" x14ac:dyDescent="0.3">
      <c r="A117" s="13" t="s">
        <v>326</v>
      </c>
      <c r="B117" s="13" t="s">
        <v>274</v>
      </c>
      <c r="C117" s="13">
        <v>21</v>
      </c>
      <c r="D117" s="13">
        <v>21</v>
      </c>
      <c r="E117" s="14">
        <v>13.38</v>
      </c>
      <c r="F117" s="15">
        <f t="shared" si="23"/>
        <v>280.98</v>
      </c>
      <c r="G117" s="13" t="s">
        <v>327</v>
      </c>
      <c r="H117" s="13" t="s">
        <v>9</v>
      </c>
      <c r="I117" s="14">
        <v>0</v>
      </c>
      <c r="J117" s="16">
        <f t="shared" si="24"/>
        <v>0</v>
      </c>
      <c r="K117" s="14" t="e">
        <f t="shared" si="14"/>
        <v>#DIV/0!</v>
      </c>
      <c r="L117" s="13"/>
      <c r="M117" s="13"/>
      <c r="N117" s="13"/>
      <c r="O117">
        <v>21</v>
      </c>
      <c r="P117">
        <v>21</v>
      </c>
      <c r="Q117">
        <v>21</v>
      </c>
      <c r="R117">
        <v>21</v>
      </c>
      <c r="S117">
        <v>21</v>
      </c>
      <c r="T117" s="3">
        <f t="shared" si="15"/>
        <v>280.98</v>
      </c>
      <c r="U117" s="3">
        <f t="shared" si="16"/>
        <v>280.98</v>
      </c>
      <c r="V117" s="3">
        <f t="shared" si="17"/>
        <v>280.98</v>
      </c>
      <c r="W117" s="3">
        <f t="shared" si="18"/>
        <v>280.98</v>
      </c>
      <c r="X117" s="3">
        <f t="shared" si="19"/>
        <v>280.98</v>
      </c>
      <c r="Y117" s="25">
        <f t="shared" si="20"/>
        <v>0</v>
      </c>
      <c r="AI117">
        <v>21</v>
      </c>
      <c r="AJ117">
        <v>0</v>
      </c>
      <c r="AK117">
        <f t="shared" si="21"/>
        <v>21</v>
      </c>
    </row>
    <row r="118" spans="1:37" x14ac:dyDescent="0.3">
      <c r="A118" s="9" t="s">
        <v>344</v>
      </c>
      <c r="B118" s="9" t="s">
        <v>274</v>
      </c>
      <c r="C118" s="9">
        <v>45</v>
      </c>
      <c r="D118" s="9">
        <v>45</v>
      </c>
      <c r="E118" s="10">
        <v>4.8499999999999996</v>
      </c>
      <c r="F118" s="11">
        <f t="shared" si="23"/>
        <v>218.24999999999997</v>
      </c>
      <c r="G118" s="9" t="s">
        <v>345</v>
      </c>
      <c r="H118" s="9" t="s">
        <v>9</v>
      </c>
      <c r="I118" s="10">
        <v>10</v>
      </c>
      <c r="J118" s="12">
        <f t="shared" si="24"/>
        <v>1.6666666666666667</v>
      </c>
      <c r="K118" s="10">
        <f t="shared" si="14"/>
        <v>27</v>
      </c>
      <c r="L118" s="9"/>
      <c r="M118" s="9"/>
      <c r="N118" s="9"/>
      <c r="O118">
        <v>45</v>
      </c>
      <c r="P118">
        <v>45</v>
      </c>
      <c r="Q118">
        <v>45</v>
      </c>
      <c r="R118">
        <v>45</v>
      </c>
      <c r="S118">
        <v>45</v>
      </c>
      <c r="T118" s="3">
        <f t="shared" si="15"/>
        <v>218.24999999999997</v>
      </c>
      <c r="U118" s="3">
        <f t="shared" si="16"/>
        <v>218.24999999999997</v>
      </c>
      <c r="V118" s="3">
        <f t="shared" si="17"/>
        <v>218.24999999999997</v>
      </c>
      <c r="W118" s="3">
        <f t="shared" si="18"/>
        <v>218.24999999999997</v>
      </c>
      <c r="X118" s="3">
        <f t="shared" si="19"/>
        <v>218.24999999999997</v>
      </c>
      <c r="Y118" s="25">
        <f t="shared" si="20"/>
        <v>0</v>
      </c>
      <c r="AI118">
        <v>45</v>
      </c>
      <c r="AJ118">
        <v>0</v>
      </c>
      <c r="AK118">
        <f t="shared" si="21"/>
        <v>45</v>
      </c>
    </row>
    <row r="119" spans="1:37" x14ac:dyDescent="0.3">
      <c r="A119" s="13" t="s">
        <v>479</v>
      </c>
      <c r="B119" s="13" t="s">
        <v>468</v>
      </c>
      <c r="C119" s="13">
        <v>2</v>
      </c>
      <c r="D119" s="13">
        <v>2</v>
      </c>
      <c r="E119" s="14">
        <v>2.29061176</v>
      </c>
      <c r="F119" s="15">
        <f t="shared" si="23"/>
        <v>4.58122352</v>
      </c>
      <c r="G119" s="13" t="s">
        <v>480</v>
      </c>
      <c r="H119" s="13" t="s">
        <v>9</v>
      </c>
      <c r="I119" s="14">
        <v>0</v>
      </c>
      <c r="J119" s="16">
        <f t="shared" si="24"/>
        <v>0</v>
      </c>
      <c r="K119" s="14" t="e">
        <f t="shared" si="14"/>
        <v>#DIV/0!</v>
      </c>
      <c r="L119" s="13"/>
      <c r="M119" s="13"/>
      <c r="N119" s="13"/>
      <c r="O119">
        <v>2</v>
      </c>
      <c r="P119">
        <v>2</v>
      </c>
      <c r="Q119">
        <v>2</v>
      </c>
      <c r="R119">
        <v>2</v>
      </c>
      <c r="S119">
        <v>2</v>
      </c>
      <c r="T119" s="3">
        <f t="shared" si="15"/>
        <v>4.58122352</v>
      </c>
      <c r="U119" s="3">
        <f t="shared" si="16"/>
        <v>4.58122352</v>
      </c>
      <c r="V119" s="3">
        <f t="shared" si="17"/>
        <v>4.58122352</v>
      </c>
      <c r="W119" s="3">
        <f t="shared" si="18"/>
        <v>4.58122352</v>
      </c>
      <c r="X119" s="3">
        <f t="shared" si="19"/>
        <v>4.58122352</v>
      </c>
      <c r="Y119" s="25">
        <f t="shared" si="20"/>
        <v>0</v>
      </c>
      <c r="AI119">
        <v>2</v>
      </c>
      <c r="AJ119">
        <v>0</v>
      </c>
      <c r="AK119">
        <f t="shared" si="21"/>
        <v>2</v>
      </c>
    </row>
    <row r="120" spans="1:37" x14ac:dyDescent="0.3">
      <c r="E120" s="4"/>
      <c r="F120" s="19">
        <f>SUM(F2:F119)</f>
        <v>5452869.4134229235</v>
      </c>
      <c r="T120" s="19">
        <f>SUM(T2:T119)</f>
        <v>5368155.6376398727</v>
      </c>
      <c r="U120" s="19">
        <f>SUM(U2:U119)</f>
        <v>5069909.9315936202</v>
      </c>
      <c r="V120" s="19">
        <f>SUM(V2:V119)</f>
        <v>5010298.1404717518</v>
      </c>
      <c r="W120" s="19">
        <f>SUM(W2:W119)</f>
        <v>4550697.1649547927</v>
      </c>
      <c r="X120" s="19">
        <f>SUM(X2:X119)</f>
        <v>4422873.4997509038</v>
      </c>
      <c r="Y120" s="25">
        <f>+X120-F120</f>
        <v>-1029995.9136720197</v>
      </c>
    </row>
    <row r="121" spans="1:37" x14ac:dyDescent="0.3">
      <c r="E121" s="4"/>
    </row>
    <row r="122" spans="1:37" x14ac:dyDescent="0.3">
      <c r="E122" s="10" t="s">
        <v>704</v>
      </c>
      <c r="F122" s="3">
        <v>4806491</v>
      </c>
      <c r="G122" t="s">
        <v>565</v>
      </c>
      <c r="H122" s="3">
        <f>SUMIF($B$2:$B$119,G122,($F$2:$F$119))</f>
        <v>1665040.8178274198</v>
      </c>
      <c r="T122" s="3">
        <f>SUMIF($B$2:$B$119,G122,($T$2:$T$119))</f>
        <v>1607918.2444495498</v>
      </c>
      <c r="U122" s="3">
        <f>SUMIF($B$2:$B$119,G122,($U$2:$U$119))</f>
        <v>1582213.8131229298</v>
      </c>
      <c r="V122" s="3">
        <f>SUMIF($B$2:$B$119,G122,($V$2:$V$119))</f>
        <v>1563440.7989884003</v>
      </c>
      <c r="W122" s="3">
        <f>SUMIF($B$2:$B$119,G122,($W$2:$W$119))</f>
        <v>1525083.45325795</v>
      </c>
      <c r="X122" s="3">
        <f>SUMIF($B$2:$B$119,G122,($X$2:$X$119))</f>
        <v>1459549.0558095202</v>
      </c>
      <c r="Y122" s="25">
        <f>+X122-H122</f>
        <v>-205491.76201789966</v>
      </c>
    </row>
    <row r="123" spans="1:37" x14ac:dyDescent="0.3">
      <c r="E123" s="13" t="s">
        <v>705</v>
      </c>
      <c r="F123" s="3">
        <v>646379</v>
      </c>
      <c r="G123" s="22" t="s">
        <v>239</v>
      </c>
      <c r="H123" s="3">
        <f t="shared" ref="H123:H131" si="25">SUMIF($B$2:$B$119,G123,($F$2:$F$119))</f>
        <v>1613061.40578363</v>
      </c>
      <c r="T123" s="3">
        <f t="shared" ref="T123:T131" si="26">SUMIF($B$2:$B$119,G123,($T$2:$T$119))</f>
        <v>1590167.67578363</v>
      </c>
      <c r="U123" s="3">
        <f t="shared" ref="U123:U131" si="27">SUMIF($B$2:$B$119,G123,($U$2:$U$119))</f>
        <v>1377505.53381705</v>
      </c>
      <c r="V123" s="3">
        <f t="shared" ref="V123:V131" si="28">SUMIF($B$2:$B$119,G123,($V$2:$V$119))</f>
        <v>1339976.92052883</v>
      </c>
      <c r="W123" s="3">
        <f t="shared" ref="W123:W131" si="29">SUMIF($B$2:$B$119,G123,($W$2:$W$119))</f>
        <v>952181.2498838898</v>
      </c>
      <c r="X123" s="3">
        <f>SUMIF($B$2:$B$119,G123,($X$2:$X$119))</f>
        <v>927162.17435840983</v>
      </c>
      <c r="Y123" s="25">
        <f t="shared" ref="Y123:Y131" si="30">+X123-H123</f>
        <v>-685899.23142522015</v>
      </c>
    </row>
    <row r="124" spans="1:37" x14ac:dyDescent="0.3">
      <c r="G124" t="s">
        <v>183</v>
      </c>
      <c r="H124" s="3">
        <f t="shared" si="25"/>
        <v>517067.33220001991</v>
      </c>
      <c r="T124" s="3">
        <f t="shared" si="26"/>
        <v>517067.33220001991</v>
      </c>
      <c r="U124" s="3">
        <f t="shared" si="27"/>
        <v>517067.33220001991</v>
      </c>
      <c r="V124" s="3">
        <f t="shared" si="28"/>
        <v>517067.33220001991</v>
      </c>
      <c r="W124" s="3">
        <f t="shared" si="29"/>
        <v>517067.33220001991</v>
      </c>
      <c r="X124" s="3">
        <f t="shared" ref="X124:X131" si="31">SUMIF($B$2:$B$119,G124,($X$2:$X$119))</f>
        <v>517067.33220001991</v>
      </c>
      <c r="Y124" s="25">
        <f t="shared" si="30"/>
        <v>0</v>
      </c>
    </row>
    <row r="125" spans="1:37" x14ac:dyDescent="0.3">
      <c r="G125" s="22" t="s">
        <v>368</v>
      </c>
      <c r="H125" s="3">
        <f t="shared" si="25"/>
        <v>505338.74522841995</v>
      </c>
      <c r="T125" s="3">
        <f t="shared" si="26"/>
        <v>505338.74522841995</v>
      </c>
      <c r="U125" s="3">
        <f t="shared" si="27"/>
        <v>490306.03232743999</v>
      </c>
      <c r="V125" s="3">
        <f t="shared" si="28"/>
        <v>490306.03232743999</v>
      </c>
      <c r="W125" s="3">
        <f t="shared" si="29"/>
        <v>490306.03232743999</v>
      </c>
      <c r="X125" s="3">
        <f t="shared" si="31"/>
        <v>490306.03232743999</v>
      </c>
      <c r="Y125" s="25">
        <f t="shared" si="30"/>
        <v>-15032.712900979968</v>
      </c>
    </row>
    <row r="126" spans="1:37" x14ac:dyDescent="0.3">
      <c r="G126" t="s">
        <v>7</v>
      </c>
      <c r="H126" s="3">
        <f t="shared" si="25"/>
        <v>449490.5909682599</v>
      </c>
      <c r="T126" s="3">
        <f t="shared" si="26"/>
        <v>447339.81487885985</v>
      </c>
      <c r="U126" s="3">
        <f t="shared" si="27"/>
        <v>417261.8372287199</v>
      </c>
      <c r="V126" s="3">
        <f t="shared" si="28"/>
        <v>405744.23676544987</v>
      </c>
      <c r="W126" s="3">
        <f t="shared" si="29"/>
        <v>384268.25845553988</v>
      </c>
      <c r="X126" s="3">
        <f t="shared" si="31"/>
        <v>373131.7921697899</v>
      </c>
      <c r="Y126" s="25">
        <f t="shared" si="30"/>
        <v>-76358.798798470001</v>
      </c>
    </row>
    <row r="127" spans="1:37" x14ac:dyDescent="0.3">
      <c r="G127" t="s">
        <v>468</v>
      </c>
      <c r="H127" s="3">
        <f t="shared" si="25"/>
        <v>294289.81987105001</v>
      </c>
      <c r="T127" s="3">
        <f t="shared" si="26"/>
        <v>294099.39426302002</v>
      </c>
      <c r="U127" s="3">
        <f t="shared" si="27"/>
        <v>289097.12136046006</v>
      </c>
      <c r="V127" s="3">
        <f t="shared" si="28"/>
        <v>285377.19140084006</v>
      </c>
      <c r="W127" s="3">
        <f t="shared" si="29"/>
        <v>279253.93755991</v>
      </c>
      <c r="X127" s="3">
        <f t="shared" si="31"/>
        <v>274794.5377396</v>
      </c>
      <c r="Y127" s="25">
        <f t="shared" si="30"/>
        <v>-19495.282131450018</v>
      </c>
    </row>
    <row r="128" spans="1:37" x14ac:dyDescent="0.3">
      <c r="G128" t="s">
        <v>274</v>
      </c>
      <c r="H128" s="3">
        <f t="shared" si="25"/>
        <v>187018.93986213999</v>
      </c>
      <c r="T128" s="3">
        <f t="shared" si="26"/>
        <v>185148.71456611002</v>
      </c>
      <c r="U128" s="3">
        <f t="shared" si="27"/>
        <v>176333.38686858001</v>
      </c>
      <c r="V128" s="3">
        <f t="shared" si="28"/>
        <v>175787.88615545002</v>
      </c>
      <c r="W128" s="3">
        <f t="shared" si="29"/>
        <v>171278.48298582001</v>
      </c>
      <c r="X128" s="3">
        <f t="shared" si="31"/>
        <v>165257.48159382</v>
      </c>
      <c r="Y128" s="25">
        <f t="shared" si="30"/>
        <v>-21761.458268319984</v>
      </c>
    </row>
    <row r="129" spans="7:25" x14ac:dyDescent="0.3">
      <c r="G129" s="22" t="s">
        <v>160</v>
      </c>
      <c r="H129" s="3">
        <f t="shared" si="25"/>
        <v>72547.322692400005</v>
      </c>
      <c r="T129" s="3">
        <f t="shared" si="26"/>
        <v>72547.322692400005</v>
      </c>
      <c r="U129" s="3">
        <f t="shared" si="27"/>
        <v>72547.322692400005</v>
      </c>
      <c r="V129" s="3">
        <f t="shared" si="28"/>
        <v>68919.956557780009</v>
      </c>
      <c r="W129" s="3">
        <f t="shared" si="29"/>
        <v>68919.956557780009</v>
      </c>
      <c r="X129" s="3">
        <f t="shared" si="31"/>
        <v>68919.956557780009</v>
      </c>
      <c r="Y129" s="25">
        <f t="shared" si="30"/>
        <v>-3627.3661346199951</v>
      </c>
    </row>
    <row r="130" spans="7:25" x14ac:dyDescent="0.3">
      <c r="G130" t="s">
        <v>415</v>
      </c>
      <c r="H130" s="3">
        <f t="shared" si="25"/>
        <v>63856.211767380009</v>
      </c>
      <c r="T130" s="3">
        <f t="shared" si="26"/>
        <v>63856.211767380009</v>
      </c>
      <c r="U130" s="3">
        <f t="shared" si="27"/>
        <v>63856.211767380009</v>
      </c>
      <c r="V130" s="3">
        <f t="shared" si="28"/>
        <v>80298.27198414001</v>
      </c>
      <c r="W130" s="3">
        <f t="shared" si="29"/>
        <v>79151.239851680002</v>
      </c>
      <c r="X130" s="3">
        <f t="shared" si="31"/>
        <v>79151.239851680002</v>
      </c>
      <c r="Y130" s="25">
        <f t="shared" si="30"/>
        <v>15295.028084299993</v>
      </c>
    </row>
    <row r="131" spans="7:25" x14ac:dyDescent="0.3">
      <c r="G131" s="22" t="s">
        <v>165</v>
      </c>
      <c r="H131" s="3">
        <f t="shared" si="25"/>
        <v>21269.306400000001</v>
      </c>
      <c r="T131" s="3">
        <f t="shared" si="26"/>
        <v>21269.306400000001</v>
      </c>
      <c r="U131" s="3">
        <f t="shared" si="27"/>
        <v>21269.306400000001</v>
      </c>
      <c r="V131" s="3">
        <f t="shared" si="28"/>
        <v>21269.306400000001</v>
      </c>
      <c r="W131" s="3">
        <f t="shared" si="29"/>
        <v>21269.306400000001</v>
      </c>
      <c r="X131" s="3">
        <f t="shared" si="31"/>
        <v>21269.306400000001</v>
      </c>
      <c r="Y131" s="25">
        <f t="shared" si="30"/>
        <v>0</v>
      </c>
    </row>
    <row r="132" spans="7:25" x14ac:dyDescent="0.3">
      <c r="H132" s="19">
        <f>SUM(H122:H131)</f>
        <v>5388980.4926007204</v>
      </c>
      <c r="T132" s="19">
        <f>SUM(T122:T131)</f>
        <v>5304752.7622293886</v>
      </c>
      <c r="U132" s="19">
        <f>SUM(U122:U131)</f>
        <v>5007457.8977849809</v>
      </c>
      <c r="V132" s="19">
        <f>SUM(V122:V131)</f>
        <v>4948187.9333083499</v>
      </c>
      <c r="W132" s="19">
        <f>SUM(W122:W131)</f>
        <v>4488779.2494800296</v>
      </c>
      <c r="X132" s="19">
        <f>SUM(X122:X131)</f>
        <v>4376608.9090080597</v>
      </c>
    </row>
    <row r="133" spans="7:25" x14ac:dyDescent="0.3">
      <c r="H133" s="24">
        <f>+H132/F120</f>
        <v>0.98828343098315674</v>
      </c>
      <c r="T133" s="24">
        <f>+T132/T120</f>
        <v>0.98818907653013588</v>
      </c>
      <c r="U133" s="24">
        <f>+U132/U120</f>
        <v>0.98768182578166452</v>
      </c>
      <c r="V133" s="24">
        <f>+V132/V120</f>
        <v>0.98760349076600984</v>
      </c>
      <c r="W133" s="24">
        <f>+W132/W120</f>
        <v>0.98639375171971522</v>
      </c>
      <c r="X133" s="24">
        <f>+X132/X120</f>
        <v>0.98953969840072298</v>
      </c>
    </row>
  </sheetData>
  <autoFilter ref="A1:N120" xr:uid="{2A0F7D78-4CE6-42E5-B526-ADDFCC980323}">
    <sortState xmlns:xlrd2="http://schemas.microsoft.com/office/spreadsheetml/2017/richdata2" ref="A2:N119">
      <sortCondition descending="1" ref="F1:F11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D1D7-91A9-44A6-8EAB-A8B67A6238D3}">
  <dimension ref="A1:T261"/>
  <sheetViews>
    <sheetView workbookViewId="0">
      <pane xSplit="5" ySplit="1" topLeftCell="F244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RowHeight="14.4" x14ac:dyDescent="0.3"/>
  <cols>
    <col min="1" max="1" width="22" bestFit="1" customWidth="1"/>
    <col min="2" max="2" width="12.88671875" customWidth="1"/>
    <col min="3" max="3" width="8.88671875" customWidth="1"/>
    <col min="4" max="4" width="11.5546875" customWidth="1"/>
    <col min="5" max="5" width="13.109375" customWidth="1"/>
    <col min="6" max="6" width="44.33203125" bestFit="1" customWidth="1"/>
    <col min="8" max="8" width="12.77734375" customWidth="1"/>
    <col min="12" max="12" width="12.33203125" customWidth="1"/>
  </cols>
  <sheetData>
    <row r="1" spans="1:13" ht="40.200000000000003" x14ac:dyDescent="0.3">
      <c r="A1" t="s">
        <v>0</v>
      </c>
      <c r="B1" t="s">
        <v>1</v>
      </c>
      <c r="C1" t="s">
        <v>2</v>
      </c>
      <c r="D1" t="s">
        <v>3</v>
      </c>
      <c r="E1" t="s">
        <v>666</v>
      </c>
      <c r="F1" t="s">
        <v>4</v>
      </c>
      <c r="G1" t="s">
        <v>5</v>
      </c>
      <c r="H1" s="1" t="s">
        <v>689</v>
      </c>
      <c r="I1" s="1" t="s">
        <v>667</v>
      </c>
      <c r="J1" s="1" t="s">
        <v>668</v>
      </c>
      <c r="K1" s="2" t="s">
        <v>669</v>
      </c>
      <c r="L1" s="1" t="s">
        <v>670</v>
      </c>
      <c r="M1" s="1" t="s">
        <v>671</v>
      </c>
    </row>
    <row r="2" spans="1:13" x14ac:dyDescent="0.3">
      <c r="A2" s="5" t="s">
        <v>6</v>
      </c>
      <c r="B2" s="5" t="s">
        <v>7</v>
      </c>
      <c r="C2" s="5">
        <v>1</v>
      </c>
      <c r="D2" s="6">
        <v>1046.37465</v>
      </c>
      <c r="E2" s="7">
        <f>+C2*D2</f>
        <v>1046.37465</v>
      </c>
      <c r="F2" s="5" t="s">
        <v>8</v>
      </c>
      <c r="G2" s="5" t="s">
        <v>9</v>
      </c>
      <c r="H2" s="6">
        <v>8</v>
      </c>
      <c r="I2" s="8">
        <f>+H2/4</f>
        <v>2</v>
      </c>
      <c r="J2" s="6">
        <f>+C2/I2</f>
        <v>0.5</v>
      </c>
      <c r="K2" s="5"/>
      <c r="L2" s="5"/>
      <c r="M2" s="5" t="s">
        <v>673</v>
      </c>
    </row>
    <row r="3" spans="1:13" x14ac:dyDescent="0.3">
      <c r="A3" s="5" t="s">
        <v>10</v>
      </c>
      <c r="B3" s="5" t="s">
        <v>7</v>
      </c>
      <c r="C3" s="5">
        <v>6</v>
      </c>
      <c r="D3" s="6">
        <v>1071.2618</v>
      </c>
      <c r="E3" s="7">
        <f t="shared" ref="E3:E49" si="0">+C3*D3</f>
        <v>6427.5707999999995</v>
      </c>
      <c r="F3" s="5" t="s">
        <v>11</v>
      </c>
      <c r="G3" s="5" t="s">
        <v>9</v>
      </c>
      <c r="H3" s="6">
        <v>0</v>
      </c>
      <c r="I3" s="8">
        <f>+H3/4</f>
        <v>0</v>
      </c>
      <c r="J3" s="6" t="e">
        <f t="shared" ref="J3:J49" si="1">+C3/I3</f>
        <v>#DIV/0!</v>
      </c>
      <c r="K3" s="5"/>
      <c r="L3" s="5"/>
      <c r="M3" s="5" t="s">
        <v>673</v>
      </c>
    </row>
    <row r="4" spans="1:13" x14ac:dyDescent="0.3">
      <c r="A4" s="5" t="s">
        <v>12</v>
      </c>
      <c r="B4" s="5" t="s">
        <v>7</v>
      </c>
      <c r="C4" s="5">
        <v>6</v>
      </c>
      <c r="D4" s="6">
        <v>1291.9461240000001</v>
      </c>
      <c r="E4" s="7">
        <f t="shared" si="0"/>
        <v>7751.6767440000003</v>
      </c>
      <c r="F4" s="5" t="s">
        <v>13</v>
      </c>
      <c r="G4" s="5" t="s">
        <v>9</v>
      </c>
      <c r="H4" s="6">
        <v>3</v>
      </c>
      <c r="I4" s="8">
        <f>+H4/4</f>
        <v>0.75</v>
      </c>
      <c r="J4" s="6">
        <f t="shared" si="1"/>
        <v>8</v>
      </c>
      <c r="K4" s="5"/>
      <c r="L4" s="5"/>
      <c r="M4" s="5" t="s">
        <v>673</v>
      </c>
    </row>
    <row r="5" spans="1:13" x14ac:dyDescent="0.3">
      <c r="A5" s="5" t="s">
        <v>14</v>
      </c>
      <c r="B5" s="5" t="s">
        <v>7</v>
      </c>
      <c r="C5" s="5">
        <v>3</v>
      </c>
      <c r="D5" s="6">
        <v>1835.618596</v>
      </c>
      <c r="E5" s="7">
        <f t="shared" si="0"/>
        <v>5506.8557879999998</v>
      </c>
      <c r="F5" s="5" t="s">
        <v>15</v>
      </c>
      <c r="G5" s="5" t="s">
        <v>9</v>
      </c>
      <c r="H5" s="6">
        <v>0</v>
      </c>
      <c r="I5" s="8">
        <f>+H5/4</f>
        <v>0</v>
      </c>
      <c r="J5" s="6" t="e">
        <f t="shared" si="1"/>
        <v>#DIV/0!</v>
      </c>
      <c r="K5" s="5"/>
      <c r="L5" s="5"/>
      <c r="M5" s="5" t="s">
        <v>673</v>
      </c>
    </row>
    <row r="6" spans="1:13" x14ac:dyDescent="0.3">
      <c r="A6" s="5" t="s">
        <v>16</v>
      </c>
      <c r="B6" s="5" t="s">
        <v>7</v>
      </c>
      <c r="C6" s="5">
        <v>5</v>
      </c>
      <c r="D6" s="6">
        <v>2355.4022222200001</v>
      </c>
      <c r="E6" s="7">
        <f t="shared" si="0"/>
        <v>11777.011111100001</v>
      </c>
      <c r="F6" s="5" t="s">
        <v>17</v>
      </c>
      <c r="G6" s="5" t="s">
        <v>9</v>
      </c>
      <c r="H6" s="6">
        <v>5</v>
      </c>
      <c r="I6" s="8">
        <f t="shared" ref="I6:I10" si="2">+H6/6</f>
        <v>0.83333333333333337</v>
      </c>
      <c r="J6" s="6">
        <f t="shared" si="1"/>
        <v>6</v>
      </c>
      <c r="K6" s="5"/>
      <c r="L6" s="5"/>
      <c r="M6" s="5"/>
    </row>
    <row r="7" spans="1:13" x14ac:dyDescent="0.3">
      <c r="A7" s="5" t="s">
        <v>20</v>
      </c>
      <c r="B7" s="5" t="s">
        <v>7</v>
      </c>
      <c r="C7" s="5">
        <f>18*5</f>
        <v>90</v>
      </c>
      <c r="D7" s="6">
        <v>712.69832191</v>
      </c>
      <c r="E7" s="7">
        <f t="shared" si="0"/>
        <v>64142.848971899999</v>
      </c>
      <c r="F7" s="5" t="s">
        <v>21</v>
      </c>
      <c r="G7" s="5" t="s">
        <v>9</v>
      </c>
      <c r="H7" s="6">
        <v>102</v>
      </c>
      <c r="I7" s="8">
        <f t="shared" si="2"/>
        <v>17</v>
      </c>
      <c r="J7" s="6">
        <f t="shared" si="1"/>
        <v>5.2941176470588234</v>
      </c>
      <c r="K7" s="5"/>
      <c r="L7" s="5"/>
      <c r="M7" s="5"/>
    </row>
    <row r="8" spans="1:13" x14ac:dyDescent="0.3">
      <c r="A8" s="5" t="s">
        <v>22</v>
      </c>
      <c r="B8" s="5" t="s">
        <v>7</v>
      </c>
      <c r="C8" s="5">
        <v>1</v>
      </c>
      <c r="D8" s="6">
        <v>2394.5300000000002</v>
      </c>
      <c r="E8" s="7">
        <f t="shared" si="0"/>
        <v>2394.5300000000002</v>
      </c>
      <c r="F8" s="5" t="s">
        <v>23</v>
      </c>
      <c r="G8" s="5" t="s">
        <v>9</v>
      </c>
      <c r="H8" s="6">
        <v>0</v>
      </c>
      <c r="I8" s="8">
        <f t="shared" si="2"/>
        <v>0</v>
      </c>
      <c r="J8" s="6" t="e">
        <f t="shared" si="1"/>
        <v>#DIV/0!</v>
      </c>
      <c r="K8" s="5"/>
      <c r="L8" s="5"/>
      <c r="M8" s="5" t="s">
        <v>674</v>
      </c>
    </row>
    <row r="9" spans="1:13" x14ac:dyDescent="0.3">
      <c r="A9" s="5" t="s">
        <v>24</v>
      </c>
      <c r="B9" s="5" t="s">
        <v>7</v>
      </c>
      <c r="C9" s="5">
        <v>3</v>
      </c>
      <c r="D9" s="6">
        <v>7180.4240400600002</v>
      </c>
      <c r="E9" s="7">
        <f t="shared" si="0"/>
        <v>21541.272120180001</v>
      </c>
      <c r="F9" s="5" t="s">
        <v>25</v>
      </c>
      <c r="G9" s="5" t="s">
        <v>9</v>
      </c>
      <c r="H9" s="6">
        <v>8</v>
      </c>
      <c r="I9" s="8">
        <f t="shared" si="2"/>
        <v>1.3333333333333333</v>
      </c>
      <c r="J9" s="6">
        <f t="shared" si="1"/>
        <v>2.25</v>
      </c>
      <c r="K9" s="5"/>
      <c r="L9" s="5"/>
      <c r="M9" s="5"/>
    </row>
    <row r="10" spans="1:13" x14ac:dyDescent="0.3">
      <c r="A10" s="5" t="s">
        <v>26</v>
      </c>
      <c r="B10" s="5" t="s">
        <v>7</v>
      </c>
      <c r="C10" s="5">
        <v>17</v>
      </c>
      <c r="D10" s="6">
        <v>4664.9791290200001</v>
      </c>
      <c r="E10" s="7">
        <f t="shared" si="0"/>
        <v>79304.645193339995</v>
      </c>
      <c r="F10" s="5" t="s">
        <v>27</v>
      </c>
      <c r="G10" s="5" t="s">
        <v>9</v>
      </c>
      <c r="H10" s="6">
        <v>19</v>
      </c>
      <c r="I10" s="8">
        <f t="shared" si="2"/>
        <v>3.1666666666666665</v>
      </c>
      <c r="J10" s="6">
        <f t="shared" si="1"/>
        <v>5.3684210526315788</v>
      </c>
      <c r="K10" s="5"/>
      <c r="L10" s="5"/>
      <c r="M10" s="5"/>
    </row>
    <row r="11" spans="1:13" x14ac:dyDescent="0.3">
      <c r="A11" s="5" t="s">
        <v>28</v>
      </c>
      <c r="B11" s="5" t="s">
        <v>7</v>
      </c>
      <c r="C11" s="5">
        <v>2</v>
      </c>
      <c r="D11" s="6">
        <v>15123.543799999999</v>
      </c>
      <c r="E11" s="7">
        <f t="shared" si="0"/>
        <v>30247.087599999999</v>
      </c>
      <c r="F11" s="5" t="s">
        <v>29</v>
      </c>
      <c r="G11" s="5" t="s">
        <v>9</v>
      </c>
      <c r="H11" s="6">
        <v>7</v>
      </c>
      <c r="I11" s="8">
        <f>+H11/0.1</f>
        <v>70</v>
      </c>
      <c r="J11" s="6">
        <f t="shared" si="1"/>
        <v>2.8571428571428571E-2</v>
      </c>
      <c r="K11" s="5"/>
      <c r="L11" s="5"/>
      <c r="M11" s="5"/>
    </row>
    <row r="12" spans="1:13" x14ac:dyDescent="0.3">
      <c r="A12" s="5" t="s">
        <v>30</v>
      </c>
      <c r="B12" s="5" t="s">
        <v>7</v>
      </c>
      <c r="C12" s="5">
        <v>1</v>
      </c>
      <c r="D12" s="6">
        <v>521.37649999999996</v>
      </c>
      <c r="E12" s="7">
        <f t="shared" si="0"/>
        <v>521.37649999999996</v>
      </c>
      <c r="F12" s="5" t="s">
        <v>31</v>
      </c>
      <c r="G12" s="5" t="s">
        <v>9</v>
      </c>
      <c r="H12" s="6">
        <v>0</v>
      </c>
      <c r="I12" s="8">
        <f>+H12/6</f>
        <v>0</v>
      </c>
      <c r="J12" s="6" t="e">
        <f t="shared" si="1"/>
        <v>#DIV/0!</v>
      </c>
      <c r="K12" s="5"/>
      <c r="L12" s="5"/>
      <c r="M12" s="5" t="s">
        <v>673</v>
      </c>
    </row>
    <row r="13" spans="1:13" x14ac:dyDescent="0.3">
      <c r="A13" s="5" t="s">
        <v>32</v>
      </c>
      <c r="B13" s="5" t="s">
        <v>7</v>
      </c>
      <c r="C13" s="5">
        <v>1</v>
      </c>
      <c r="D13" s="6">
        <v>84366</v>
      </c>
      <c r="E13" s="7">
        <f t="shared" si="0"/>
        <v>84366</v>
      </c>
      <c r="F13" s="5" t="s">
        <v>33</v>
      </c>
      <c r="G13" s="5" t="s">
        <v>9</v>
      </c>
      <c r="H13" s="6">
        <v>0</v>
      </c>
      <c r="I13" s="8">
        <f>+H13/6</f>
        <v>0</v>
      </c>
      <c r="J13" s="6" t="e">
        <f t="shared" si="1"/>
        <v>#DIV/0!</v>
      </c>
      <c r="K13" s="5"/>
      <c r="L13" s="5"/>
      <c r="M13" s="5" t="s">
        <v>675</v>
      </c>
    </row>
    <row r="14" spans="1:13" x14ac:dyDescent="0.3">
      <c r="A14" s="5" t="s">
        <v>34</v>
      </c>
      <c r="B14" s="5" t="s">
        <v>7</v>
      </c>
      <c r="C14" s="5">
        <v>5</v>
      </c>
      <c r="D14" s="6">
        <v>411.59870000000001</v>
      </c>
      <c r="E14" s="7">
        <f t="shared" si="0"/>
        <v>2057.9935</v>
      </c>
      <c r="F14" s="5" t="s">
        <v>35</v>
      </c>
      <c r="G14" s="5" t="s">
        <v>9</v>
      </c>
      <c r="H14" s="6">
        <v>0</v>
      </c>
      <c r="I14" s="8">
        <f>+H14/6</f>
        <v>0</v>
      </c>
      <c r="J14" s="6" t="e">
        <f t="shared" si="1"/>
        <v>#DIV/0!</v>
      </c>
      <c r="K14" s="5"/>
      <c r="L14" s="5"/>
      <c r="M14" s="5" t="s">
        <v>673</v>
      </c>
    </row>
    <row r="15" spans="1:13" x14ac:dyDescent="0.3">
      <c r="A15" s="5" t="s">
        <v>36</v>
      </c>
      <c r="B15" s="5" t="s">
        <v>7</v>
      </c>
      <c r="C15" s="5">
        <v>5</v>
      </c>
      <c r="D15" s="6">
        <v>506.31209999999999</v>
      </c>
      <c r="E15" s="7">
        <f t="shared" si="0"/>
        <v>2531.5605</v>
      </c>
      <c r="F15" s="5" t="s">
        <v>37</v>
      </c>
      <c r="G15" s="5" t="s">
        <v>9</v>
      </c>
      <c r="H15" s="6">
        <v>0</v>
      </c>
      <c r="I15" s="8">
        <f>+H15/1</f>
        <v>0</v>
      </c>
      <c r="J15" s="6" t="e">
        <f t="shared" si="1"/>
        <v>#DIV/0!</v>
      </c>
      <c r="K15" s="5"/>
      <c r="L15" s="5"/>
      <c r="M15" s="5" t="s">
        <v>673</v>
      </c>
    </row>
    <row r="16" spans="1:13" x14ac:dyDescent="0.3">
      <c r="A16" s="5" t="s">
        <v>38</v>
      </c>
      <c r="B16" s="5" t="s">
        <v>7</v>
      </c>
      <c r="C16" s="5">
        <v>5</v>
      </c>
      <c r="D16" s="6">
        <v>1904.82839199</v>
      </c>
      <c r="E16" s="7">
        <f t="shared" si="0"/>
        <v>9524.1419599500005</v>
      </c>
      <c r="F16" s="5" t="s">
        <v>39</v>
      </c>
      <c r="G16" s="5" t="s">
        <v>9</v>
      </c>
      <c r="H16" s="6">
        <v>6</v>
      </c>
      <c r="I16" s="8">
        <f t="shared" ref="I16:I30" si="3">+H16/6</f>
        <v>1</v>
      </c>
      <c r="J16" s="6">
        <f t="shared" si="1"/>
        <v>5</v>
      </c>
      <c r="K16" s="5"/>
      <c r="L16" s="5"/>
      <c r="M16" s="5"/>
    </row>
    <row r="17" spans="1:13" x14ac:dyDescent="0.3">
      <c r="A17" s="5" t="s">
        <v>44</v>
      </c>
      <c r="B17" s="5" t="s">
        <v>7</v>
      </c>
      <c r="C17" s="5">
        <v>22</v>
      </c>
      <c r="D17" s="6">
        <v>89.065065369999999</v>
      </c>
      <c r="E17" s="7">
        <f t="shared" si="0"/>
        <v>1959.43143814</v>
      </c>
      <c r="F17" s="5" t="s">
        <v>45</v>
      </c>
      <c r="G17" s="5" t="s">
        <v>9</v>
      </c>
      <c r="H17" s="6">
        <v>24</v>
      </c>
      <c r="I17" s="8">
        <f t="shared" si="3"/>
        <v>4</v>
      </c>
      <c r="J17" s="6">
        <f t="shared" si="1"/>
        <v>5.5</v>
      </c>
      <c r="K17" s="5"/>
      <c r="L17" s="5"/>
      <c r="M17" s="5"/>
    </row>
    <row r="18" spans="1:13" x14ac:dyDescent="0.3">
      <c r="A18" s="5" t="s">
        <v>46</v>
      </c>
      <c r="B18" s="5" t="s">
        <v>7</v>
      </c>
      <c r="C18" s="5">
        <v>170</v>
      </c>
      <c r="D18" s="6">
        <v>112.22128312</v>
      </c>
      <c r="E18" s="7">
        <f t="shared" si="0"/>
        <v>19077.618130399998</v>
      </c>
      <c r="F18" s="5" t="s">
        <v>47</v>
      </c>
      <c r="G18" s="5" t="s">
        <v>9</v>
      </c>
      <c r="H18" s="6">
        <v>251</v>
      </c>
      <c r="I18" s="8">
        <f t="shared" si="3"/>
        <v>41.833333333333336</v>
      </c>
      <c r="J18" s="6">
        <f t="shared" si="1"/>
        <v>4.0637450199203187</v>
      </c>
      <c r="K18" s="5"/>
      <c r="L18" s="5"/>
      <c r="M18" s="5"/>
    </row>
    <row r="19" spans="1:13" x14ac:dyDescent="0.3">
      <c r="A19" s="5" t="s">
        <v>52</v>
      </c>
      <c r="B19" s="5" t="s">
        <v>7</v>
      </c>
      <c r="C19" s="5">
        <v>2</v>
      </c>
      <c r="D19" s="6">
        <v>137.37570869999999</v>
      </c>
      <c r="E19" s="7">
        <f t="shared" si="0"/>
        <v>274.75141739999998</v>
      </c>
      <c r="F19" s="5" t="s">
        <v>53</v>
      </c>
      <c r="G19" s="5" t="s">
        <v>9</v>
      </c>
      <c r="H19" s="6">
        <v>3</v>
      </c>
      <c r="I19" s="8">
        <f t="shared" si="3"/>
        <v>0.5</v>
      </c>
      <c r="J19" s="6">
        <f t="shared" si="1"/>
        <v>4</v>
      </c>
      <c r="K19" s="5"/>
      <c r="L19" s="5"/>
      <c r="M19" s="5"/>
    </row>
    <row r="20" spans="1:13" x14ac:dyDescent="0.3">
      <c r="A20" s="5" t="s">
        <v>54</v>
      </c>
      <c r="B20" s="5" t="s">
        <v>7</v>
      </c>
      <c r="C20" s="5">
        <v>1</v>
      </c>
      <c r="D20" s="6">
        <v>126.54507900999999</v>
      </c>
      <c r="E20" s="7">
        <f t="shared" si="0"/>
        <v>126.54507900999999</v>
      </c>
      <c r="F20" s="5" t="s">
        <v>55</v>
      </c>
      <c r="G20" s="5" t="s">
        <v>9</v>
      </c>
      <c r="H20" s="6">
        <v>2</v>
      </c>
      <c r="I20" s="8">
        <f t="shared" si="3"/>
        <v>0.33333333333333331</v>
      </c>
      <c r="J20" s="6">
        <f t="shared" si="1"/>
        <v>3</v>
      </c>
      <c r="K20" s="5"/>
      <c r="L20" s="5"/>
      <c r="M20" s="5"/>
    </row>
    <row r="21" spans="1:13" x14ac:dyDescent="0.3">
      <c r="A21" s="5" t="s">
        <v>56</v>
      </c>
      <c r="B21" s="5" t="s">
        <v>7</v>
      </c>
      <c r="C21" s="5">
        <v>5</v>
      </c>
      <c r="D21" s="6">
        <v>135.32158654</v>
      </c>
      <c r="E21" s="7">
        <f t="shared" si="0"/>
        <v>676.60793269999999</v>
      </c>
      <c r="F21" s="5" t="s">
        <v>57</v>
      </c>
      <c r="G21" s="5" t="s">
        <v>9</v>
      </c>
      <c r="H21" s="6">
        <v>6</v>
      </c>
      <c r="I21" s="8">
        <f t="shared" si="3"/>
        <v>1</v>
      </c>
      <c r="J21" s="6">
        <f t="shared" si="1"/>
        <v>5</v>
      </c>
      <c r="K21" s="5"/>
      <c r="L21" s="5"/>
      <c r="M21" s="5"/>
    </row>
    <row r="22" spans="1:13" x14ac:dyDescent="0.3">
      <c r="A22" s="5" t="s">
        <v>60</v>
      </c>
      <c r="B22" s="5" t="s">
        <v>7</v>
      </c>
      <c r="C22" s="5">
        <v>1</v>
      </c>
      <c r="D22" s="6">
        <v>182.18690000000001</v>
      </c>
      <c r="E22" s="7">
        <f t="shared" si="0"/>
        <v>182.18690000000001</v>
      </c>
      <c r="F22" s="5" t="s">
        <v>61</v>
      </c>
      <c r="G22" s="5" t="s">
        <v>9</v>
      </c>
      <c r="H22" s="6">
        <v>2</v>
      </c>
      <c r="I22" s="8">
        <f t="shared" si="3"/>
        <v>0.33333333333333331</v>
      </c>
      <c r="J22" s="6">
        <f t="shared" si="1"/>
        <v>3</v>
      </c>
      <c r="K22" s="5"/>
      <c r="L22" s="5"/>
      <c r="M22" s="5"/>
    </row>
    <row r="23" spans="1:13" x14ac:dyDescent="0.3">
      <c r="A23" s="5" t="s">
        <v>62</v>
      </c>
      <c r="B23" s="5" t="s">
        <v>7</v>
      </c>
      <c r="C23" s="5">
        <v>13</v>
      </c>
      <c r="D23" s="6">
        <v>356.67848190000001</v>
      </c>
      <c r="E23" s="7">
        <f t="shared" si="0"/>
        <v>4636.8202646999998</v>
      </c>
      <c r="F23" s="5" t="s">
        <v>63</v>
      </c>
      <c r="G23" s="5" t="s">
        <v>9</v>
      </c>
      <c r="H23" s="6">
        <v>10</v>
      </c>
      <c r="I23" s="8">
        <f t="shared" si="3"/>
        <v>1.6666666666666667</v>
      </c>
      <c r="J23" s="6">
        <f t="shared" si="1"/>
        <v>7.8</v>
      </c>
      <c r="K23" s="5"/>
      <c r="L23" s="5"/>
      <c r="M23" s="5"/>
    </row>
    <row r="24" spans="1:13" x14ac:dyDescent="0.3">
      <c r="A24" s="5" t="s">
        <v>64</v>
      </c>
      <c r="B24" s="5" t="s">
        <v>7</v>
      </c>
      <c r="C24" s="5">
        <v>5</v>
      </c>
      <c r="D24" s="6">
        <v>368.36806912999998</v>
      </c>
      <c r="E24" s="7">
        <f t="shared" si="0"/>
        <v>1841.84034565</v>
      </c>
      <c r="F24" s="5" t="s">
        <v>65</v>
      </c>
      <c r="G24" s="5" t="s">
        <v>9</v>
      </c>
      <c r="H24" s="6">
        <v>5</v>
      </c>
      <c r="I24" s="8">
        <f t="shared" si="3"/>
        <v>0.83333333333333337</v>
      </c>
      <c r="J24" s="6">
        <f t="shared" si="1"/>
        <v>6</v>
      </c>
      <c r="K24" s="5"/>
      <c r="L24" s="5"/>
      <c r="M24" s="5"/>
    </row>
    <row r="25" spans="1:13" x14ac:dyDescent="0.3">
      <c r="A25" s="5" t="s">
        <v>66</v>
      </c>
      <c r="B25" s="5" t="s">
        <v>7</v>
      </c>
      <c r="C25" s="5">
        <v>3</v>
      </c>
      <c r="D25" s="6">
        <v>333.80301878</v>
      </c>
      <c r="E25" s="7">
        <f t="shared" si="0"/>
        <v>1001.40905634</v>
      </c>
      <c r="F25" s="5" t="s">
        <v>67</v>
      </c>
      <c r="G25" s="5" t="s">
        <v>9</v>
      </c>
      <c r="H25" s="6">
        <v>0</v>
      </c>
      <c r="I25" s="8">
        <f t="shared" si="3"/>
        <v>0</v>
      </c>
      <c r="J25" s="6" t="e">
        <f t="shared" si="1"/>
        <v>#DIV/0!</v>
      </c>
      <c r="K25" s="5"/>
      <c r="L25" s="5"/>
      <c r="M25" s="5"/>
    </row>
    <row r="26" spans="1:13" x14ac:dyDescent="0.3">
      <c r="A26" s="5" t="s">
        <v>68</v>
      </c>
      <c r="B26" s="5" t="s">
        <v>7</v>
      </c>
      <c r="C26" s="5">
        <v>6</v>
      </c>
      <c r="D26" s="6">
        <v>435.75598101999998</v>
      </c>
      <c r="E26" s="7">
        <f t="shared" si="0"/>
        <v>2614.5358861199998</v>
      </c>
      <c r="F26" s="5" t="s">
        <v>69</v>
      </c>
      <c r="G26" s="5" t="s">
        <v>9</v>
      </c>
      <c r="H26" s="6">
        <v>6</v>
      </c>
      <c r="I26" s="8">
        <f t="shared" si="3"/>
        <v>1</v>
      </c>
      <c r="J26" s="6">
        <f t="shared" si="1"/>
        <v>6</v>
      </c>
      <c r="K26" s="5"/>
      <c r="L26" s="5"/>
      <c r="M26" s="5"/>
    </row>
    <row r="27" spans="1:13" x14ac:dyDescent="0.3">
      <c r="A27" s="5" t="s">
        <v>70</v>
      </c>
      <c r="B27" s="5" t="s">
        <v>7</v>
      </c>
      <c r="C27" s="5">
        <v>8</v>
      </c>
      <c r="D27" s="6">
        <v>421.08607059000002</v>
      </c>
      <c r="E27" s="7">
        <f t="shared" si="0"/>
        <v>3368.6885647200002</v>
      </c>
      <c r="F27" s="5" t="s">
        <v>71</v>
      </c>
      <c r="G27" s="5" t="s">
        <v>72</v>
      </c>
      <c r="H27" s="6">
        <v>9</v>
      </c>
      <c r="I27" s="8">
        <f t="shared" si="3"/>
        <v>1.5</v>
      </c>
      <c r="J27" s="6">
        <f t="shared" si="1"/>
        <v>5.333333333333333</v>
      </c>
      <c r="K27" s="5"/>
      <c r="L27" s="5"/>
      <c r="M27" s="5"/>
    </row>
    <row r="28" spans="1:13" x14ac:dyDescent="0.3">
      <c r="A28" s="5" t="s">
        <v>73</v>
      </c>
      <c r="B28" s="5" t="s">
        <v>7</v>
      </c>
      <c r="C28" s="5">
        <v>8</v>
      </c>
      <c r="D28" s="6">
        <v>422.42744445</v>
      </c>
      <c r="E28" s="7">
        <f t="shared" si="0"/>
        <v>3379.4195556</v>
      </c>
      <c r="F28" s="5" t="s">
        <v>74</v>
      </c>
      <c r="G28" s="5" t="s">
        <v>72</v>
      </c>
      <c r="H28" s="6">
        <v>22</v>
      </c>
      <c r="I28" s="8">
        <f t="shared" si="3"/>
        <v>3.6666666666666665</v>
      </c>
      <c r="J28" s="6">
        <f t="shared" si="1"/>
        <v>2.1818181818181821</v>
      </c>
      <c r="K28" s="5"/>
      <c r="L28" s="5"/>
      <c r="M28" s="5"/>
    </row>
    <row r="29" spans="1:13" x14ac:dyDescent="0.3">
      <c r="A29" s="5" t="s">
        <v>75</v>
      </c>
      <c r="B29" s="5" t="s">
        <v>7</v>
      </c>
      <c r="C29" s="5">
        <v>226</v>
      </c>
      <c r="D29" s="6">
        <v>407.95094175000003</v>
      </c>
      <c r="E29" s="7">
        <f t="shared" si="0"/>
        <v>92196.912835499999</v>
      </c>
      <c r="F29" s="5" t="s">
        <v>76</v>
      </c>
      <c r="G29" s="5" t="s">
        <v>9</v>
      </c>
      <c r="H29" s="6">
        <v>405</v>
      </c>
      <c r="I29" s="8">
        <f t="shared" si="3"/>
        <v>67.5</v>
      </c>
      <c r="J29" s="6">
        <f t="shared" si="1"/>
        <v>3.3481481481481481</v>
      </c>
      <c r="K29" s="5"/>
      <c r="L29" s="5"/>
      <c r="M29" s="5"/>
    </row>
    <row r="30" spans="1:13" x14ac:dyDescent="0.3">
      <c r="A30" s="5" t="s">
        <v>77</v>
      </c>
      <c r="B30" s="5" t="s">
        <v>7</v>
      </c>
      <c r="C30" s="5">
        <v>69</v>
      </c>
      <c r="D30" s="6">
        <v>415.31698611000002</v>
      </c>
      <c r="E30" s="7">
        <f t="shared" si="0"/>
        <v>28656.872041590002</v>
      </c>
      <c r="F30" s="5" t="s">
        <v>78</v>
      </c>
      <c r="G30" s="5" t="s">
        <v>72</v>
      </c>
      <c r="H30" s="6">
        <v>183</v>
      </c>
      <c r="I30" s="8">
        <f t="shared" si="3"/>
        <v>30.5</v>
      </c>
      <c r="J30" s="6">
        <f t="shared" si="1"/>
        <v>2.262295081967213</v>
      </c>
      <c r="K30" s="5"/>
      <c r="L30" s="5"/>
      <c r="M30" s="5"/>
    </row>
    <row r="31" spans="1:13" x14ac:dyDescent="0.3">
      <c r="A31" s="5" t="s">
        <v>79</v>
      </c>
      <c r="B31" s="5" t="s">
        <v>7</v>
      </c>
      <c r="C31" s="5">
        <v>52</v>
      </c>
      <c r="D31" s="6">
        <v>430.15521788000001</v>
      </c>
      <c r="E31" s="7">
        <f t="shared" si="0"/>
        <v>22368.071329760001</v>
      </c>
      <c r="F31" s="5" t="s">
        <v>80</v>
      </c>
      <c r="G31" s="5" t="s">
        <v>72</v>
      </c>
      <c r="H31" s="6">
        <v>51</v>
      </c>
      <c r="I31" s="8">
        <f>+H31/5</f>
        <v>10.199999999999999</v>
      </c>
      <c r="J31" s="6">
        <f t="shared" si="1"/>
        <v>5.098039215686275</v>
      </c>
      <c r="K31" s="5"/>
      <c r="L31" s="5"/>
      <c r="M31" s="5"/>
    </row>
    <row r="32" spans="1:13" x14ac:dyDescent="0.3">
      <c r="A32" s="5" t="s">
        <v>81</v>
      </c>
      <c r="B32" s="5" t="s">
        <v>7</v>
      </c>
      <c r="C32" s="5">
        <v>35</v>
      </c>
      <c r="D32" s="6">
        <v>429.69835705000003</v>
      </c>
      <c r="E32" s="7">
        <f t="shared" si="0"/>
        <v>15039.442496750002</v>
      </c>
      <c r="F32" s="5" t="s">
        <v>82</v>
      </c>
      <c r="G32" s="5" t="s">
        <v>9</v>
      </c>
      <c r="H32" s="6">
        <v>40</v>
      </c>
      <c r="I32" s="8">
        <f>+H32/6</f>
        <v>6.666666666666667</v>
      </c>
      <c r="J32" s="6">
        <f t="shared" si="1"/>
        <v>5.25</v>
      </c>
      <c r="K32" s="5"/>
      <c r="L32" s="5"/>
      <c r="M32" s="5"/>
    </row>
    <row r="33" spans="1:13" x14ac:dyDescent="0.3">
      <c r="A33" s="5" t="s">
        <v>87</v>
      </c>
      <c r="B33" s="5" t="s">
        <v>7</v>
      </c>
      <c r="C33" s="5">
        <v>51</v>
      </c>
      <c r="D33" s="6">
        <v>1526.0123802200001</v>
      </c>
      <c r="E33" s="7">
        <f t="shared" si="0"/>
        <v>77826.631391219998</v>
      </c>
      <c r="F33" s="5" t="s">
        <v>88</v>
      </c>
      <c r="G33" s="5" t="s">
        <v>9</v>
      </c>
      <c r="H33" s="6">
        <v>78</v>
      </c>
      <c r="I33" s="8">
        <f>+H33/5.5</f>
        <v>14.181818181818182</v>
      </c>
      <c r="J33" s="6">
        <f t="shared" si="1"/>
        <v>3.5961538461538463</v>
      </c>
      <c r="K33" s="5"/>
      <c r="L33" s="5"/>
      <c r="M33" s="5"/>
    </row>
    <row r="34" spans="1:13" x14ac:dyDescent="0.3">
      <c r="A34" s="5" t="s">
        <v>91</v>
      </c>
      <c r="B34" s="5" t="s">
        <v>7</v>
      </c>
      <c r="C34" s="5">
        <v>3</v>
      </c>
      <c r="D34" s="6">
        <v>9498.4313000000002</v>
      </c>
      <c r="E34" s="7">
        <f t="shared" si="0"/>
        <v>28495.293900000001</v>
      </c>
      <c r="F34" s="5" t="s">
        <v>92</v>
      </c>
      <c r="G34" s="5" t="s">
        <v>9</v>
      </c>
      <c r="H34" s="6">
        <v>3</v>
      </c>
      <c r="I34" s="8">
        <f t="shared" ref="I34:I72" si="4">+H34/6</f>
        <v>0.5</v>
      </c>
      <c r="J34" s="6">
        <f t="shared" si="1"/>
        <v>6</v>
      </c>
      <c r="K34" s="5"/>
      <c r="L34" s="5"/>
      <c r="M34" s="5"/>
    </row>
    <row r="35" spans="1:13" x14ac:dyDescent="0.3">
      <c r="A35" s="5" t="s">
        <v>93</v>
      </c>
      <c r="B35" s="5" t="s">
        <v>7</v>
      </c>
      <c r="C35" s="5">
        <v>86</v>
      </c>
      <c r="D35" s="6">
        <v>2311.11098915</v>
      </c>
      <c r="E35" s="7">
        <f t="shared" si="0"/>
        <v>198755.5450669</v>
      </c>
      <c r="F35" s="5" t="s">
        <v>94</v>
      </c>
      <c r="G35" s="5" t="s">
        <v>9</v>
      </c>
      <c r="H35" s="6">
        <v>558</v>
      </c>
      <c r="I35" s="8">
        <f t="shared" si="4"/>
        <v>93</v>
      </c>
      <c r="J35" s="6">
        <f t="shared" si="1"/>
        <v>0.92473118279569888</v>
      </c>
      <c r="K35" s="5"/>
      <c r="L35" s="5"/>
      <c r="M35" s="5"/>
    </row>
    <row r="36" spans="1:13" x14ac:dyDescent="0.3">
      <c r="A36" s="5" t="s">
        <v>95</v>
      </c>
      <c r="B36" s="5" t="s">
        <v>7</v>
      </c>
      <c r="C36" s="5">
        <v>17</v>
      </c>
      <c r="D36" s="6">
        <v>1972.24829576</v>
      </c>
      <c r="E36" s="7">
        <f t="shared" si="0"/>
        <v>33528.221027920001</v>
      </c>
      <c r="F36" s="5" t="s">
        <v>96</v>
      </c>
      <c r="G36" s="5" t="s">
        <v>9</v>
      </c>
      <c r="H36" s="6">
        <v>27</v>
      </c>
      <c r="I36" s="8">
        <f t="shared" si="4"/>
        <v>4.5</v>
      </c>
      <c r="J36" s="6">
        <f t="shared" si="1"/>
        <v>3.7777777777777777</v>
      </c>
      <c r="K36" s="5"/>
      <c r="L36" s="5"/>
      <c r="M36" s="5"/>
    </row>
    <row r="37" spans="1:13" x14ac:dyDescent="0.3">
      <c r="A37" s="5" t="s">
        <v>99</v>
      </c>
      <c r="B37" s="5" t="s">
        <v>7</v>
      </c>
      <c r="C37" s="5">
        <v>1</v>
      </c>
      <c r="D37" s="6">
        <v>710.89269999999999</v>
      </c>
      <c r="E37" s="7">
        <f t="shared" si="0"/>
        <v>710.89269999999999</v>
      </c>
      <c r="F37" s="5" t="s">
        <v>100</v>
      </c>
      <c r="G37" s="5" t="s">
        <v>9</v>
      </c>
      <c r="H37" s="6">
        <v>1</v>
      </c>
      <c r="I37" s="8">
        <f t="shared" si="4"/>
        <v>0.16666666666666666</v>
      </c>
      <c r="J37" s="6">
        <f t="shared" si="1"/>
        <v>6</v>
      </c>
      <c r="K37" s="5"/>
      <c r="L37" s="5"/>
      <c r="M37" s="5"/>
    </row>
    <row r="38" spans="1:13" x14ac:dyDescent="0.3">
      <c r="A38" s="5" t="s">
        <v>101</v>
      </c>
      <c r="B38" s="5" t="s">
        <v>7</v>
      </c>
      <c r="C38" s="5">
        <v>6</v>
      </c>
      <c r="D38" s="6">
        <v>146.55311922999999</v>
      </c>
      <c r="E38" s="7">
        <f t="shared" si="0"/>
        <v>879.31871537999996</v>
      </c>
      <c r="F38" s="5" t="s">
        <v>102</v>
      </c>
      <c r="G38" s="5" t="s">
        <v>9</v>
      </c>
      <c r="H38" s="6">
        <v>6</v>
      </c>
      <c r="I38" s="8">
        <f t="shared" si="4"/>
        <v>1</v>
      </c>
      <c r="J38" s="6">
        <f t="shared" si="1"/>
        <v>6</v>
      </c>
      <c r="K38" s="5"/>
      <c r="L38" s="5"/>
      <c r="M38" s="5"/>
    </row>
    <row r="39" spans="1:13" x14ac:dyDescent="0.3">
      <c r="A39" s="5" t="s">
        <v>103</v>
      </c>
      <c r="B39" s="5" t="s">
        <v>104</v>
      </c>
      <c r="C39" s="5">
        <v>300</v>
      </c>
      <c r="D39" s="6">
        <v>553.57560000000001</v>
      </c>
      <c r="E39" s="7">
        <f t="shared" si="0"/>
        <v>166072.68</v>
      </c>
      <c r="F39" s="5" t="s">
        <v>105</v>
      </c>
      <c r="G39" s="5" t="s">
        <v>9</v>
      </c>
      <c r="H39" s="6">
        <v>0</v>
      </c>
      <c r="I39" s="8">
        <f t="shared" si="4"/>
        <v>0</v>
      </c>
      <c r="J39" s="6" t="e">
        <f t="shared" si="1"/>
        <v>#DIV/0!</v>
      </c>
      <c r="K39" s="5"/>
      <c r="L39" s="5"/>
      <c r="M39" s="5" t="s">
        <v>673</v>
      </c>
    </row>
    <row r="40" spans="1:13" x14ac:dyDescent="0.3">
      <c r="A40" s="5" t="s">
        <v>106</v>
      </c>
      <c r="B40" s="5" t="s">
        <v>104</v>
      </c>
      <c r="C40" s="5">
        <v>190</v>
      </c>
      <c r="D40" s="6">
        <v>352.7604432</v>
      </c>
      <c r="E40" s="7">
        <f t="shared" si="0"/>
        <v>67024.484207999994</v>
      </c>
      <c r="F40" s="5" t="s">
        <v>107</v>
      </c>
      <c r="G40" s="5" t="s">
        <v>9</v>
      </c>
      <c r="H40" s="6">
        <v>602</v>
      </c>
      <c r="I40" s="8">
        <f t="shared" si="4"/>
        <v>100.33333333333333</v>
      </c>
      <c r="J40" s="6">
        <f t="shared" si="1"/>
        <v>1.8936877076411962</v>
      </c>
      <c r="K40" s="5"/>
      <c r="L40" s="5"/>
      <c r="M40" s="5"/>
    </row>
    <row r="41" spans="1:13" x14ac:dyDescent="0.3">
      <c r="A41" s="5" t="s">
        <v>113</v>
      </c>
      <c r="B41" s="5" t="s">
        <v>109</v>
      </c>
      <c r="C41" s="5">
        <v>4</v>
      </c>
      <c r="D41" s="6">
        <v>292.27381652000003</v>
      </c>
      <c r="E41" s="7">
        <f t="shared" si="0"/>
        <v>1169.0952660800001</v>
      </c>
      <c r="F41" s="5" t="s">
        <v>114</v>
      </c>
      <c r="G41" s="5" t="s">
        <v>9</v>
      </c>
      <c r="H41" s="6">
        <v>0</v>
      </c>
      <c r="I41" s="8">
        <f t="shared" si="4"/>
        <v>0</v>
      </c>
      <c r="J41" s="6" t="e">
        <f t="shared" si="1"/>
        <v>#DIV/0!</v>
      </c>
      <c r="K41" s="5"/>
      <c r="L41" s="5"/>
      <c r="M41" s="5"/>
    </row>
    <row r="42" spans="1:13" x14ac:dyDescent="0.3">
      <c r="A42" s="5" t="s">
        <v>115</v>
      </c>
      <c r="B42" s="5" t="s">
        <v>109</v>
      </c>
      <c r="C42" s="5">
        <v>1</v>
      </c>
      <c r="D42" s="6">
        <v>382.2</v>
      </c>
      <c r="E42" s="7">
        <f t="shared" si="0"/>
        <v>382.2</v>
      </c>
      <c r="F42" s="5" t="s">
        <v>116</v>
      </c>
      <c r="G42" s="5" t="s">
        <v>9</v>
      </c>
      <c r="H42" s="6">
        <v>0</v>
      </c>
      <c r="I42" s="8">
        <f t="shared" si="4"/>
        <v>0</v>
      </c>
      <c r="J42" s="6" t="e">
        <f t="shared" si="1"/>
        <v>#DIV/0!</v>
      </c>
      <c r="K42" s="5"/>
      <c r="L42" s="5"/>
      <c r="M42" s="5"/>
    </row>
    <row r="43" spans="1:13" x14ac:dyDescent="0.3">
      <c r="A43" s="5" t="s">
        <v>117</v>
      </c>
      <c r="B43" s="5" t="s">
        <v>109</v>
      </c>
      <c r="C43" s="5">
        <v>28</v>
      </c>
      <c r="D43" s="6">
        <v>498.81261205999999</v>
      </c>
      <c r="E43" s="7">
        <f t="shared" si="0"/>
        <v>13966.75313768</v>
      </c>
      <c r="F43" s="5" t="s">
        <v>118</v>
      </c>
      <c r="G43" s="5" t="s">
        <v>9</v>
      </c>
      <c r="H43" s="6">
        <v>1</v>
      </c>
      <c r="I43" s="8">
        <f t="shared" si="4"/>
        <v>0.16666666666666666</v>
      </c>
      <c r="J43" s="6">
        <f t="shared" si="1"/>
        <v>168</v>
      </c>
      <c r="K43" s="5"/>
      <c r="L43" s="5"/>
      <c r="M43" s="5"/>
    </row>
    <row r="44" spans="1:13" x14ac:dyDescent="0.3">
      <c r="A44" s="5" t="s">
        <v>119</v>
      </c>
      <c r="B44" s="5" t="s">
        <v>109</v>
      </c>
      <c r="C44" s="5">
        <v>6</v>
      </c>
      <c r="D44" s="6">
        <v>587.21116727000003</v>
      </c>
      <c r="E44" s="7">
        <f t="shared" si="0"/>
        <v>3523.2670036200002</v>
      </c>
      <c r="F44" s="5" t="s">
        <v>120</v>
      </c>
      <c r="G44" s="5" t="s">
        <v>9</v>
      </c>
      <c r="H44" s="6">
        <v>2</v>
      </c>
      <c r="I44" s="8">
        <f t="shared" si="4"/>
        <v>0.33333333333333331</v>
      </c>
      <c r="J44" s="6">
        <f t="shared" si="1"/>
        <v>18</v>
      </c>
      <c r="K44" s="5"/>
      <c r="L44" s="5"/>
      <c r="M44" s="5"/>
    </row>
    <row r="45" spans="1:13" x14ac:dyDescent="0.3">
      <c r="A45" s="5" t="s">
        <v>121</v>
      </c>
      <c r="B45" s="5" t="s">
        <v>109</v>
      </c>
      <c r="C45" s="5">
        <v>2</v>
      </c>
      <c r="D45" s="6">
        <v>728.86859259000005</v>
      </c>
      <c r="E45" s="7">
        <f t="shared" si="0"/>
        <v>1457.7371851800001</v>
      </c>
      <c r="F45" s="5" t="s">
        <v>122</v>
      </c>
      <c r="G45" s="5" t="s">
        <v>9</v>
      </c>
      <c r="H45" s="6">
        <v>0</v>
      </c>
      <c r="I45" s="8">
        <f t="shared" si="4"/>
        <v>0</v>
      </c>
      <c r="J45" s="6" t="e">
        <f t="shared" si="1"/>
        <v>#DIV/0!</v>
      </c>
      <c r="K45" s="5"/>
      <c r="L45" s="5"/>
      <c r="M45" s="5"/>
    </row>
    <row r="46" spans="1:13" x14ac:dyDescent="0.3">
      <c r="A46" s="5" t="s">
        <v>123</v>
      </c>
      <c r="B46" s="5" t="s">
        <v>109</v>
      </c>
      <c r="C46" s="5">
        <v>2</v>
      </c>
      <c r="D46" s="6">
        <v>1470</v>
      </c>
      <c r="E46" s="7">
        <f t="shared" si="0"/>
        <v>2940</v>
      </c>
      <c r="F46" s="5" t="s">
        <v>124</v>
      </c>
      <c r="G46" s="5" t="s">
        <v>9</v>
      </c>
      <c r="H46" s="6">
        <v>0</v>
      </c>
      <c r="I46" s="8">
        <f t="shared" si="4"/>
        <v>0</v>
      </c>
      <c r="J46" s="6" t="e">
        <f t="shared" si="1"/>
        <v>#DIV/0!</v>
      </c>
      <c r="K46" s="5"/>
      <c r="L46" s="5"/>
      <c r="M46" s="5"/>
    </row>
    <row r="47" spans="1:13" x14ac:dyDescent="0.3">
      <c r="A47" s="5" t="s">
        <v>129</v>
      </c>
      <c r="B47" s="5" t="s">
        <v>109</v>
      </c>
      <c r="C47" s="5">
        <v>1</v>
      </c>
      <c r="D47" s="6">
        <v>2474.66</v>
      </c>
      <c r="E47" s="7">
        <f t="shared" si="0"/>
        <v>2474.66</v>
      </c>
      <c r="F47" s="5" t="s">
        <v>130</v>
      </c>
      <c r="G47" s="5" t="s">
        <v>9</v>
      </c>
      <c r="H47" s="6">
        <v>2</v>
      </c>
      <c r="I47" s="8">
        <f t="shared" si="4"/>
        <v>0.33333333333333331</v>
      </c>
      <c r="J47" s="6">
        <f t="shared" si="1"/>
        <v>3</v>
      </c>
      <c r="K47" s="5"/>
      <c r="L47" s="5"/>
      <c r="M47" s="5"/>
    </row>
    <row r="48" spans="1:13" x14ac:dyDescent="0.3">
      <c r="A48" s="5" t="s">
        <v>131</v>
      </c>
      <c r="B48" s="5" t="s">
        <v>109</v>
      </c>
      <c r="C48" s="5">
        <v>2</v>
      </c>
      <c r="D48" s="6">
        <v>2095.17</v>
      </c>
      <c r="E48" s="7">
        <f t="shared" si="0"/>
        <v>4190.34</v>
      </c>
      <c r="F48" s="5" t="s">
        <v>132</v>
      </c>
      <c r="G48" s="5" t="s">
        <v>9</v>
      </c>
      <c r="H48" s="6">
        <v>10</v>
      </c>
      <c r="I48" s="8">
        <f t="shared" si="4"/>
        <v>1.6666666666666667</v>
      </c>
      <c r="J48" s="6">
        <f t="shared" si="1"/>
        <v>1.2</v>
      </c>
      <c r="K48" s="5"/>
      <c r="L48" s="5"/>
      <c r="M48" s="5"/>
    </row>
    <row r="49" spans="1:13" x14ac:dyDescent="0.3">
      <c r="A49" s="5" t="s">
        <v>135</v>
      </c>
      <c r="B49" s="5" t="s">
        <v>109</v>
      </c>
      <c r="C49" s="5">
        <v>2</v>
      </c>
      <c r="D49" s="6">
        <v>2367.7600000000002</v>
      </c>
      <c r="E49" s="7">
        <f t="shared" si="0"/>
        <v>4735.5200000000004</v>
      </c>
      <c r="F49" s="5" t="s">
        <v>136</v>
      </c>
      <c r="G49" s="5" t="s">
        <v>9</v>
      </c>
      <c r="H49" s="6">
        <v>8</v>
      </c>
      <c r="I49" s="8">
        <f t="shared" si="4"/>
        <v>1.3333333333333333</v>
      </c>
      <c r="J49" s="6">
        <f t="shared" si="1"/>
        <v>1.5</v>
      </c>
      <c r="K49" s="5"/>
      <c r="L49" s="5"/>
      <c r="M49" s="5"/>
    </row>
    <row r="50" spans="1:13" x14ac:dyDescent="0.3">
      <c r="A50" s="5" t="s">
        <v>141</v>
      </c>
      <c r="B50" s="5" t="s">
        <v>109</v>
      </c>
      <c r="C50" s="5">
        <v>2</v>
      </c>
      <c r="D50" s="6">
        <v>1902.76</v>
      </c>
      <c r="E50" s="7">
        <f t="shared" ref="E50:E94" si="5">+C50*D50</f>
        <v>3805.52</v>
      </c>
      <c r="F50" s="5" t="s">
        <v>142</v>
      </c>
      <c r="G50" s="5" t="s">
        <v>9</v>
      </c>
      <c r="H50" s="6">
        <v>8</v>
      </c>
      <c r="I50" s="8">
        <f t="shared" si="4"/>
        <v>1.3333333333333333</v>
      </c>
      <c r="J50" s="6">
        <f t="shared" ref="J50:J94" si="6">+C50/I50</f>
        <v>1.5</v>
      </c>
      <c r="K50" s="5"/>
      <c r="L50" s="5"/>
      <c r="M50" s="5"/>
    </row>
    <row r="51" spans="1:13" x14ac:dyDescent="0.3">
      <c r="A51" s="5" t="s">
        <v>145</v>
      </c>
      <c r="B51" s="5" t="s">
        <v>109</v>
      </c>
      <c r="C51" s="5">
        <v>1</v>
      </c>
      <c r="D51" s="6">
        <v>3992.59</v>
      </c>
      <c r="E51" s="7">
        <f t="shared" si="5"/>
        <v>3992.59</v>
      </c>
      <c r="F51" s="5" t="s">
        <v>146</v>
      </c>
      <c r="G51" s="5" t="s">
        <v>9</v>
      </c>
      <c r="H51" s="6">
        <v>5</v>
      </c>
      <c r="I51" s="8">
        <f t="shared" si="4"/>
        <v>0.83333333333333337</v>
      </c>
      <c r="J51" s="6">
        <f t="shared" si="6"/>
        <v>1.2</v>
      </c>
      <c r="K51" s="5"/>
      <c r="L51" s="5"/>
      <c r="M51" s="5"/>
    </row>
    <row r="52" spans="1:13" x14ac:dyDescent="0.3">
      <c r="A52" s="5" t="s">
        <v>149</v>
      </c>
      <c r="B52" s="5" t="s">
        <v>109</v>
      </c>
      <c r="C52" s="5">
        <v>1</v>
      </c>
      <c r="D52" s="6">
        <v>2079.14</v>
      </c>
      <c r="E52" s="7">
        <f t="shared" si="5"/>
        <v>2079.14</v>
      </c>
      <c r="F52" s="5" t="s">
        <v>150</v>
      </c>
      <c r="G52" s="5" t="s">
        <v>9</v>
      </c>
      <c r="H52" s="6">
        <v>4</v>
      </c>
      <c r="I52" s="8">
        <f t="shared" si="4"/>
        <v>0.66666666666666663</v>
      </c>
      <c r="J52" s="6">
        <f t="shared" si="6"/>
        <v>1.5</v>
      </c>
      <c r="K52" s="5"/>
      <c r="L52" s="5"/>
      <c r="M52" s="5"/>
    </row>
    <row r="53" spans="1:13" x14ac:dyDescent="0.3">
      <c r="A53" s="5" t="s">
        <v>153</v>
      </c>
      <c r="B53" s="5" t="s">
        <v>109</v>
      </c>
      <c r="C53" s="5">
        <v>1</v>
      </c>
      <c r="D53" s="6">
        <v>2421.21</v>
      </c>
      <c r="E53" s="7">
        <f t="shared" si="5"/>
        <v>2421.21</v>
      </c>
      <c r="F53" s="5" t="s">
        <v>154</v>
      </c>
      <c r="G53" s="5" t="s">
        <v>9</v>
      </c>
      <c r="H53" s="6">
        <v>4</v>
      </c>
      <c r="I53" s="8">
        <f t="shared" si="4"/>
        <v>0.66666666666666663</v>
      </c>
      <c r="J53" s="6">
        <f t="shared" si="6"/>
        <v>1.5</v>
      </c>
      <c r="K53" s="5"/>
      <c r="L53" s="5"/>
      <c r="M53" s="5"/>
    </row>
    <row r="54" spans="1:13" x14ac:dyDescent="0.3">
      <c r="A54" s="5" t="s">
        <v>155</v>
      </c>
      <c r="B54" s="5" t="s">
        <v>109</v>
      </c>
      <c r="C54" s="5">
        <v>2</v>
      </c>
      <c r="D54" s="6">
        <v>2661.72</v>
      </c>
      <c r="E54" s="7">
        <f t="shared" si="5"/>
        <v>5323.44</v>
      </c>
      <c r="F54" s="5" t="s">
        <v>156</v>
      </c>
      <c r="G54" s="5" t="s">
        <v>9</v>
      </c>
      <c r="H54" s="6">
        <v>6</v>
      </c>
      <c r="I54" s="8">
        <f t="shared" si="4"/>
        <v>1</v>
      </c>
      <c r="J54" s="6">
        <f t="shared" si="6"/>
        <v>2</v>
      </c>
      <c r="K54" s="5"/>
      <c r="L54" s="5"/>
      <c r="M54" s="5"/>
    </row>
    <row r="55" spans="1:13" x14ac:dyDescent="0.3">
      <c r="A55" s="5" t="s">
        <v>157</v>
      </c>
      <c r="B55" s="5" t="s">
        <v>109</v>
      </c>
      <c r="C55" s="5">
        <v>1</v>
      </c>
      <c r="D55" s="6">
        <v>3992.59</v>
      </c>
      <c r="E55" s="7">
        <f t="shared" si="5"/>
        <v>3992.59</v>
      </c>
      <c r="F55" s="5" t="s">
        <v>158</v>
      </c>
      <c r="G55" s="5" t="s">
        <v>9</v>
      </c>
      <c r="H55" s="6">
        <v>1</v>
      </c>
      <c r="I55" s="8">
        <f t="shared" si="4"/>
        <v>0.16666666666666666</v>
      </c>
      <c r="J55" s="6">
        <f t="shared" si="6"/>
        <v>6</v>
      </c>
      <c r="K55" s="5"/>
      <c r="L55" s="5"/>
      <c r="M55" s="5"/>
    </row>
    <row r="56" spans="1:13" x14ac:dyDescent="0.3">
      <c r="A56" s="5" t="s">
        <v>159</v>
      </c>
      <c r="B56" s="5" t="s">
        <v>160</v>
      </c>
      <c r="C56" s="5">
        <v>4</v>
      </c>
      <c r="D56" s="6">
        <v>127.58620000000001</v>
      </c>
      <c r="E56" s="7">
        <f t="shared" si="5"/>
        <v>510.34480000000002</v>
      </c>
      <c r="F56" s="5" t="s">
        <v>161</v>
      </c>
      <c r="G56" s="5" t="s">
        <v>9</v>
      </c>
      <c r="H56" s="6">
        <v>6</v>
      </c>
      <c r="I56" s="8">
        <f t="shared" si="4"/>
        <v>1</v>
      </c>
      <c r="J56" s="6">
        <f t="shared" si="6"/>
        <v>4</v>
      </c>
      <c r="K56" s="5"/>
      <c r="L56" s="5"/>
      <c r="M56" s="5"/>
    </row>
    <row r="57" spans="1:13" x14ac:dyDescent="0.3">
      <c r="A57" s="5" t="s">
        <v>162</v>
      </c>
      <c r="B57" s="5" t="s">
        <v>160</v>
      </c>
      <c r="C57" s="5">
        <v>4</v>
      </c>
      <c r="D57" s="6">
        <v>3627.3661346200001</v>
      </c>
      <c r="E57" s="7">
        <f t="shared" si="5"/>
        <v>14509.464538480001</v>
      </c>
      <c r="F57" s="5" t="s">
        <v>163</v>
      </c>
      <c r="G57" s="5" t="s">
        <v>9</v>
      </c>
      <c r="H57" s="6">
        <v>4</v>
      </c>
      <c r="I57" s="8">
        <f t="shared" si="4"/>
        <v>0.66666666666666663</v>
      </c>
      <c r="J57" s="6">
        <f t="shared" si="6"/>
        <v>6</v>
      </c>
      <c r="K57" s="5"/>
      <c r="L57" s="5"/>
      <c r="M57" s="5"/>
    </row>
    <row r="58" spans="1:13" x14ac:dyDescent="0.3">
      <c r="A58" s="5" t="s">
        <v>164</v>
      </c>
      <c r="B58" s="5" t="s">
        <v>165</v>
      </c>
      <c r="C58" s="5">
        <v>9</v>
      </c>
      <c r="D58" s="6">
        <v>6431.3237754399997</v>
      </c>
      <c r="E58" s="7">
        <f t="shared" si="5"/>
        <v>57881.913978960001</v>
      </c>
      <c r="F58" s="5" t="s">
        <v>166</v>
      </c>
      <c r="G58" s="5" t="s">
        <v>9</v>
      </c>
      <c r="H58" s="6">
        <v>75</v>
      </c>
      <c r="I58" s="8">
        <f t="shared" si="4"/>
        <v>12.5</v>
      </c>
      <c r="J58" s="6">
        <f t="shared" si="6"/>
        <v>0.72</v>
      </c>
      <c r="K58" s="5"/>
      <c r="L58" s="5"/>
      <c r="M58" s="5"/>
    </row>
    <row r="59" spans="1:13" x14ac:dyDescent="0.3">
      <c r="A59" s="5" t="s">
        <v>167</v>
      </c>
      <c r="B59" s="5" t="s">
        <v>165</v>
      </c>
      <c r="C59" s="5">
        <v>1</v>
      </c>
      <c r="D59" s="6">
        <v>5933.15639216</v>
      </c>
      <c r="E59" s="7">
        <f t="shared" si="5"/>
        <v>5933.15639216</v>
      </c>
      <c r="F59" s="5" t="s">
        <v>168</v>
      </c>
      <c r="G59" s="5" t="s">
        <v>9</v>
      </c>
      <c r="H59" s="6">
        <v>43</v>
      </c>
      <c r="I59" s="8">
        <f t="shared" si="4"/>
        <v>7.166666666666667</v>
      </c>
      <c r="J59" s="6">
        <f t="shared" si="6"/>
        <v>0.13953488372093023</v>
      </c>
      <c r="K59" s="5"/>
      <c r="L59" s="5"/>
      <c r="M59" s="5"/>
    </row>
    <row r="60" spans="1:13" x14ac:dyDescent="0.3">
      <c r="A60" s="5" t="s">
        <v>169</v>
      </c>
      <c r="B60" s="5" t="s">
        <v>165</v>
      </c>
      <c r="C60" s="5">
        <v>10</v>
      </c>
      <c r="D60" s="6">
        <v>2257.6467059699999</v>
      </c>
      <c r="E60" s="7">
        <f t="shared" si="5"/>
        <v>22576.4670597</v>
      </c>
      <c r="F60" s="5" t="s">
        <v>170</v>
      </c>
      <c r="G60" s="5" t="s">
        <v>9</v>
      </c>
      <c r="H60" s="6">
        <v>13</v>
      </c>
      <c r="I60" s="8">
        <f t="shared" si="4"/>
        <v>2.1666666666666665</v>
      </c>
      <c r="J60" s="6">
        <f t="shared" si="6"/>
        <v>4.6153846153846159</v>
      </c>
      <c r="K60" s="5"/>
      <c r="L60" s="5"/>
      <c r="M60" s="5"/>
    </row>
    <row r="61" spans="1:13" x14ac:dyDescent="0.3">
      <c r="A61" s="5" t="s">
        <v>171</v>
      </c>
      <c r="B61" s="5" t="s">
        <v>165</v>
      </c>
      <c r="C61" s="5">
        <v>1</v>
      </c>
      <c r="D61" s="6">
        <v>7089.7687999999998</v>
      </c>
      <c r="E61" s="7">
        <f t="shared" si="5"/>
        <v>7089.7687999999998</v>
      </c>
      <c r="F61" s="5" t="s">
        <v>172</v>
      </c>
      <c r="G61" s="5" t="s">
        <v>9</v>
      </c>
      <c r="H61" s="6">
        <v>1</v>
      </c>
      <c r="I61" s="8">
        <f t="shared" si="4"/>
        <v>0.16666666666666666</v>
      </c>
      <c r="J61" s="6">
        <f t="shared" si="6"/>
        <v>6</v>
      </c>
      <c r="K61" s="5"/>
      <c r="L61" s="5"/>
      <c r="M61" s="5"/>
    </row>
    <row r="62" spans="1:13" x14ac:dyDescent="0.3">
      <c r="A62" s="5" t="s">
        <v>173</v>
      </c>
      <c r="B62" s="5" t="s">
        <v>165</v>
      </c>
      <c r="C62" s="5">
        <v>1</v>
      </c>
      <c r="D62" s="6">
        <v>753.63078571000005</v>
      </c>
      <c r="E62" s="7">
        <f t="shared" si="5"/>
        <v>753.63078571000005</v>
      </c>
      <c r="F62" s="5" t="s">
        <v>174</v>
      </c>
      <c r="G62" s="5" t="s">
        <v>9</v>
      </c>
      <c r="H62" s="6">
        <v>4</v>
      </c>
      <c r="I62" s="8">
        <f t="shared" si="4"/>
        <v>0.66666666666666663</v>
      </c>
      <c r="J62" s="6">
        <f t="shared" si="6"/>
        <v>1.5</v>
      </c>
      <c r="K62" s="5"/>
      <c r="L62" s="5"/>
      <c r="M62" s="5"/>
    </row>
    <row r="63" spans="1:13" x14ac:dyDescent="0.3">
      <c r="A63" s="5" t="s">
        <v>175</v>
      </c>
      <c r="B63" s="5" t="s">
        <v>176</v>
      </c>
      <c r="C63" s="5">
        <v>1</v>
      </c>
      <c r="D63" s="6">
        <v>97.69</v>
      </c>
      <c r="E63" s="7">
        <f t="shared" si="5"/>
        <v>97.69</v>
      </c>
      <c r="F63" s="5" t="s">
        <v>177</v>
      </c>
      <c r="G63" s="5" t="s">
        <v>9</v>
      </c>
      <c r="H63" s="6">
        <v>9</v>
      </c>
      <c r="I63" s="8">
        <f t="shared" si="4"/>
        <v>1.5</v>
      </c>
      <c r="J63" s="6">
        <f t="shared" si="6"/>
        <v>0.66666666666666663</v>
      </c>
      <c r="K63" s="5"/>
      <c r="L63" s="5"/>
      <c r="M63" s="5"/>
    </row>
    <row r="64" spans="1:13" x14ac:dyDescent="0.3">
      <c r="A64" s="5" t="s">
        <v>178</v>
      </c>
      <c r="B64" s="5" t="s">
        <v>176</v>
      </c>
      <c r="C64" s="5">
        <v>7</v>
      </c>
      <c r="D64" s="6">
        <v>20.93</v>
      </c>
      <c r="E64" s="7">
        <f t="shared" si="5"/>
        <v>146.51</v>
      </c>
      <c r="F64" s="5" t="s">
        <v>179</v>
      </c>
      <c r="G64" s="5" t="s">
        <v>9</v>
      </c>
      <c r="H64" s="6">
        <v>4</v>
      </c>
      <c r="I64" s="8">
        <f t="shared" si="4"/>
        <v>0.66666666666666663</v>
      </c>
      <c r="J64" s="6">
        <f t="shared" si="6"/>
        <v>10.5</v>
      </c>
      <c r="K64" s="5"/>
      <c r="L64" s="5"/>
      <c r="M64" s="5"/>
    </row>
    <row r="65" spans="1:13" x14ac:dyDescent="0.3">
      <c r="A65" s="5" t="s">
        <v>182</v>
      </c>
      <c r="B65" s="5" t="s">
        <v>183</v>
      </c>
      <c r="C65" s="5">
        <v>9</v>
      </c>
      <c r="D65" s="6">
        <v>961.35537778000003</v>
      </c>
      <c r="E65" s="7">
        <f t="shared" si="5"/>
        <v>8652.1984000200009</v>
      </c>
      <c r="F65" s="5" t="s">
        <v>184</v>
      </c>
      <c r="G65" s="5" t="s">
        <v>9</v>
      </c>
      <c r="H65" s="6">
        <v>12</v>
      </c>
      <c r="I65" s="8">
        <f t="shared" si="4"/>
        <v>2</v>
      </c>
      <c r="J65" s="6">
        <f t="shared" si="6"/>
        <v>4.5</v>
      </c>
      <c r="K65" s="5"/>
      <c r="L65" s="5"/>
      <c r="M65" s="5"/>
    </row>
    <row r="66" spans="1:13" x14ac:dyDescent="0.3">
      <c r="A66" s="5" t="s">
        <v>185</v>
      </c>
      <c r="B66" s="5" t="s">
        <v>183</v>
      </c>
      <c r="C66" s="5">
        <v>9</v>
      </c>
      <c r="D66" s="6">
        <v>1129.3060515100001</v>
      </c>
      <c r="E66" s="7">
        <f t="shared" si="5"/>
        <v>10163.754463590001</v>
      </c>
      <c r="F66" s="5" t="s">
        <v>186</v>
      </c>
      <c r="G66" s="5" t="s">
        <v>9</v>
      </c>
      <c r="H66" s="6">
        <v>12</v>
      </c>
      <c r="I66" s="8">
        <f t="shared" si="4"/>
        <v>2</v>
      </c>
      <c r="J66" s="6">
        <f t="shared" si="6"/>
        <v>4.5</v>
      </c>
      <c r="K66" s="5"/>
      <c r="L66" s="5"/>
      <c r="M66" s="5"/>
    </row>
    <row r="67" spans="1:13" x14ac:dyDescent="0.3">
      <c r="A67" s="5" t="s">
        <v>191</v>
      </c>
      <c r="B67" s="5" t="s">
        <v>183</v>
      </c>
      <c r="C67" s="5">
        <v>1</v>
      </c>
      <c r="D67" s="6">
        <v>1595.66</v>
      </c>
      <c r="E67" s="7">
        <f t="shared" si="5"/>
        <v>1595.66</v>
      </c>
      <c r="F67" s="5" t="s">
        <v>192</v>
      </c>
      <c r="G67" s="5" t="s">
        <v>9</v>
      </c>
      <c r="H67" s="6">
        <v>8</v>
      </c>
      <c r="I67" s="8">
        <f t="shared" si="4"/>
        <v>1.3333333333333333</v>
      </c>
      <c r="J67" s="6">
        <f t="shared" si="6"/>
        <v>0.75</v>
      </c>
      <c r="K67" s="5"/>
      <c r="L67" s="5"/>
      <c r="M67" s="5"/>
    </row>
    <row r="68" spans="1:13" x14ac:dyDescent="0.3">
      <c r="A68" s="5" t="s">
        <v>193</v>
      </c>
      <c r="B68" s="5" t="s">
        <v>183</v>
      </c>
      <c r="C68" s="5">
        <v>1</v>
      </c>
      <c r="D68" s="6">
        <v>1612.116</v>
      </c>
      <c r="E68" s="7">
        <f t="shared" si="5"/>
        <v>1612.116</v>
      </c>
      <c r="F68" s="5" t="s">
        <v>194</v>
      </c>
      <c r="G68" s="5" t="s">
        <v>9</v>
      </c>
      <c r="H68" s="6">
        <v>3</v>
      </c>
      <c r="I68" s="8">
        <f t="shared" si="4"/>
        <v>0.5</v>
      </c>
      <c r="J68" s="6">
        <f t="shared" si="6"/>
        <v>2</v>
      </c>
      <c r="K68" s="5"/>
      <c r="L68" s="5"/>
      <c r="M68" s="5"/>
    </row>
    <row r="69" spans="1:13" x14ac:dyDescent="0.3">
      <c r="A69" s="5" t="s">
        <v>199</v>
      </c>
      <c r="B69" s="5" t="s">
        <v>183</v>
      </c>
      <c r="C69" s="5">
        <v>3</v>
      </c>
      <c r="D69" s="6">
        <v>11223.1672</v>
      </c>
      <c r="E69" s="7">
        <f t="shared" si="5"/>
        <v>33669.501600000003</v>
      </c>
      <c r="F69" s="5" t="s">
        <v>200</v>
      </c>
      <c r="G69" s="5" t="s">
        <v>9</v>
      </c>
      <c r="H69" s="6">
        <v>5</v>
      </c>
      <c r="I69" s="8">
        <f t="shared" si="4"/>
        <v>0.83333333333333337</v>
      </c>
      <c r="J69" s="6">
        <f t="shared" si="6"/>
        <v>3.5999999999999996</v>
      </c>
      <c r="K69" s="5"/>
      <c r="L69" s="5"/>
      <c r="M69" s="5"/>
    </row>
    <row r="70" spans="1:13" x14ac:dyDescent="0.3">
      <c r="A70" s="5" t="s">
        <v>201</v>
      </c>
      <c r="B70" s="5" t="s">
        <v>183</v>
      </c>
      <c r="C70" s="5">
        <v>1</v>
      </c>
      <c r="D70" s="6">
        <v>15186.766100000001</v>
      </c>
      <c r="E70" s="7">
        <f t="shared" si="5"/>
        <v>15186.766100000001</v>
      </c>
      <c r="F70" s="5" t="s">
        <v>202</v>
      </c>
      <c r="G70" s="5" t="s">
        <v>9</v>
      </c>
      <c r="H70" s="6">
        <v>4</v>
      </c>
      <c r="I70" s="8">
        <f t="shared" si="4"/>
        <v>0.66666666666666663</v>
      </c>
      <c r="J70" s="6">
        <f t="shared" si="6"/>
        <v>1.5</v>
      </c>
      <c r="K70" s="5"/>
      <c r="L70" s="5"/>
      <c r="M70" s="5"/>
    </row>
    <row r="71" spans="1:13" x14ac:dyDescent="0.3">
      <c r="A71" s="5" t="s">
        <v>205</v>
      </c>
      <c r="B71" s="5" t="s">
        <v>183</v>
      </c>
      <c r="C71" s="5">
        <v>9</v>
      </c>
      <c r="D71" s="6">
        <v>942.83199999999999</v>
      </c>
      <c r="E71" s="7">
        <f t="shared" si="5"/>
        <v>8485.4879999999994</v>
      </c>
      <c r="F71" s="5" t="s">
        <v>206</v>
      </c>
      <c r="G71" s="5" t="s">
        <v>9</v>
      </c>
      <c r="H71" s="6">
        <v>13</v>
      </c>
      <c r="I71" s="8">
        <f t="shared" si="4"/>
        <v>2.1666666666666665</v>
      </c>
      <c r="J71" s="6">
        <f t="shared" si="6"/>
        <v>4.1538461538461542</v>
      </c>
      <c r="K71" s="5"/>
      <c r="L71" s="5"/>
      <c r="M71" s="5"/>
    </row>
    <row r="72" spans="1:13" x14ac:dyDescent="0.3">
      <c r="A72" s="5" t="s">
        <v>209</v>
      </c>
      <c r="B72" s="5" t="s">
        <v>183</v>
      </c>
      <c r="C72" s="5">
        <v>7</v>
      </c>
      <c r="D72" s="6">
        <v>2459.1465499999999</v>
      </c>
      <c r="E72" s="7">
        <f t="shared" si="5"/>
        <v>17214.025849999998</v>
      </c>
      <c r="F72" s="5" t="s">
        <v>210</v>
      </c>
      <c r="G72" s="5" t="s">
        <v>9</v>
      </c>
      <c r="H72" s="6">
        <v>7</v>
      </c>
      <c r="I72" s="8">
        <f t="shared" si="4"/>
        <v>1.1666666666666667</v>
      </c>
      <c r="J72" s="6">
        <f t="shared" si="6"/>
        <v>6</v>
      </c>
      <c r="K72" s="5"/>
      <c r="L72" s="5"/>
      <c r="M72" s="5"/>
    </row>
    <row r="73" spans="1:13" x14ac:dyDescent="0.3">
      <c r="A73" s="5" t="s">
        <v>215</v>
      </c>
      <c r="B73" s="5" t="s">
        <v>183</v>
      </c>
      <c r="C73" s="5">
        <v>2</v>
      </c>
      <c r="D73" s="6">
        <v>10867.155345450001</v>
      </c>
      <c r="E73" s="7">
        <f t="shared" si="5"/>
        <v>21734.310690900002</v>
      </c>
      <c r="F73" s="5" t="s">
        <v>216</v>
      </c>
      <c r="G73" s="5" t="s">
        <v>9</v>
      </c>
      <c r="H73" s="6">
        <v>6</v>
      </c>
      <c r="I73" s="8">
        <f t="shared" ref="I73:I83" si="7">+H73/6</f>
        <v>1</v>
      </c>
      <c r="J73" s="6">
        <f t="shared" si="6"/>
        <v>2</v>
      </c>
      <c r="K73" s="5"/>
      <c r="L73" s="5"/>
      <c r="M73" s="5"/>
    </row>
    <row r="74" spans="1:13" x14ac:dyDescent="0.3">
      <c r="A74" s="5" t="s">
        <v>217</v>
      </c>
      <c r="B74" s="5" t="s">
        <v>183</v>
      </c>
      <c r="C74" s="5">
        <v>2</v>
      </c>
      <c r="D74" s="6">
        <v>14854.32</v>
      </c>
      <c r="E74" s="7">
        <f t="shared" si="5"/>
        <v>29708.639999999999</v>
      </c>
      <c r="F74" s="5" t="s">
        <v>218</v>
      </c>
      <c r="G74" s="5" t="s">
        <v>9</v>
      </c>
      <c r="H74" s="6">
        <v>3</v>
      </c>
      <c r="I74" s="8">
        <f t="shared" si="7"/>
        <v>0.5</v>
      </c>
      <c r="J74" s="6">
        <f t="shared" si="6"/>
        <v>4</v>
      </c>
      <c r="K74" s="5"/>
      <c r="L74" s="5"/>
      <c r="M74" s="5"/>
    </row>
    <row r="75" spans="1:13" x14ac:dyDescent="0.3">
      <c r="A75" s="5" t="s">
        <v>221</v>
      </c>
      <c r="B75" s="5" t="s">
        <v>183</v>
      </c>
      <c r="C75" s="5">
        <v>2</v>
      </c>
      <c r="D75" s="6">
        <v>6568.9380000000001</v>
      </c>
      <c r="E75" s="7">
        <f t="shared" si="5"/>
        <v>13137.876</v>
      </c>
      <c r="F75" s="5" t="s">
        <v>222</v>
      </c>
      <c r="G75" s="5" t="s">
        <v>9</v>
      </c>
      <c r="H75" s="6">
        <v>6</v>
      </c>
      <c r="I75" s="8">
        <f t="shared" si="7"/>
        <v>1</v>
      </c>
      <c r="J75" s="6">
        <f t="shared" si="6"/>
        <v>2</v>
      </c>
      <c r="K75" s="5"/>
      <c r="L75" s="5"/>
      <c r="M75" s="5"/>
    </row>
    <row r="76" spans="1:13" x14ac:dyDescent="0.3">
      <c r="A76" s="5" t="s">
        <v>223</v>
      </c>
      <c r="B76" s="5" t="s">
        <v>183</v>
      </c>
      <c r="C76" s="5">
        <v>2</v>
      </c>
      <c r="D76" s="6">
        <v>6568.9380000000001</v>
      </c>
      <c r="E76" s="7">
        <f t="shared" si="5"/>
        <v>13137.876</v>
      </c>
      <c r="F76" s="5" t="s">
        <v>224</v>
      </c>
      <c r="G76" s="5" t="s">
        <v>9</v>
      </c>
      <c r="H76" s="6">
        <v>2</v>
      </c>
      <c r="I76" s="8">
        <f t="shared" si="7"/>
        <v>0.33333333333333331</v>
      </c>
      <c r="J76" s="6">
        <f t="shared" si="6"/>
        <v>6</v>
      </c>
      <c r="K76" s="5"/>
      <c r="L76" s="5"/>
      <c r="M76" s="5"/>
    </row>
    <row r="77" spans="1:13" x14ac:dyDescent="0.3">
      <c r="A77" s="5" t="s">
        <v>227</v>
      </c>
      <c r="B77" s="5" t="s">
        <v>228</v>
      </c>
      <c r="C77" s="5">
        <f>45*5</f>
        <v>225</v>
      </c>
      <c r="D77" s="6">
        <v>101.46203444</v>
      </c>
      <c r="E77" s="7">
        <f t="shared" si="5"/>
        <v>22828.957748999997</v>
      </c>
      <c r="F77" s="5" t="s">
        <v>229</v>
      </c>
      <c r="G77" s="5" t="s">
        <v>9</v>
      </c>
      <c r="H77" s="6">
        <v>255</v>
      </c>
      <c r="I77" s="8">
        <f t="shared" si="7"/>
        <v>42.5</v>
      </c>
      <c r="J77" s="6">
        <f t="shared" si="6"/>
        <v>5.2941176470588234</v>
      </c>
      <c r="K77" s="5"/>
      <c r="L77" s="18">
        <v>46063</v>
      </c>
      <c r="M77" s="5" t="s">
        <v>680</v>
      </c>
    </row>
    <row r="78" spans="1:13" x14ac:dyDescent="0.3">
      <c r="A78" s="5" t="s">
        <v>230</v>
      </c>
      <c r="B78" s="5" t="s">
        <v>228</v>
      </c>
      <c r="C78" s="5">
        <v>15</v>
      </c>
      <c r="D78" s="6">
        <v>48.2</v>
      </c>
      <c r="E78" s="7">
        <f t="shared" si="5"/>
        <v>723</v>
      </c>
      <c r="F78" s="5" t="s">
        <v>231</v>
      </c>
      <c r="G78" s="5" t="s">
        <v>9</v>
      </c>
      <c r="H78" s="6">
        <v>94</v>
      </c>
      <c r="I78" s="8">
        <f t="shared" si="7"/>
        <v>15.666666666666666</v>
      </c>
      <c r="J78" s="6">
        <f t="shared" si="6"/>
        <v>0.95744680851063835</v>
      </c>
      <c r="K78" s="5"/>
      <c r="L78" s="5"/>
      <c r="M78" s="5"/>
    </row>
    <row r="79" spans="1:13" x14ac:dyDescent="0.3">
      <c r="A79" s="5" t="s">
        <v>232</v>
      </c>
      <c r="B79" s="5" t="s">
        <v>228</v>
      </c>
      <c r="C79" s="5">
        <v>1297</v>
      </c>
      <c r="D79" s="6">
        <v>100.81997957</v>
      </c>
      <c r="E79" s="7">
        <f t="shared" si="5"/>
        <v>130763.51350229001</v>
      </c>
      <c r="F79" s="5" t="s">
        <v>233</v>
      </c>
      <c r="G79" s="5" t="s">
        <v>9</v>
      </c>
      <c r="H79" s="6">
        <v>1269</v>
      </c>
      <c r="I79" s="8">
        <f t="shared" si="7"/>
        <v>211.5</v>
      </c>
      <c r="J79" s="6">
        <f t="shared" si="6"/>
        <v>6.1323877068557922</v>
      </c>
      <c r="K79" s="5"/>
      <c r="L79" s="5"/>
      <c r="M79" s="5"/>
    </row>
    <row r="80" spans="1:13" x14ac:dyDescent="0.3">
      <c r="A80" s="5" t="s">
        <v>234</v>
      </c>
      <c r="B80" s="5" t="s">
        <v>228</v>
      </c>
      <c r="C80" s="5">
        <v>380</v>
      </c>
      <c r="D80" s="6">
        <v>48.072922159999997</v>
      </c>
      <c r="E80" s="7">
        <f t="shared" si="5"/>
        <v>18267.710420799998</v>
      </c>
      <c r="F80" s="5" t="s">
        <v>235</v>
      </c>
      <c r="G80" s="5" t="s">
        <v>9</v>
      </c>
      <c r="H80" s="6">
        <v>413</v>
      </c>
      <c r="I80" s="8">
        <f t="shared" si="7"/>
        <v>68.833333333333329</v>
      </c>
      <c r="J80" s="6">
        <f t="shared" si="6"/>
        <v>5.5205811138014536</v>
      </c>
      <c r="K80" s="5"/>
      <c r="L80" s="5"/>
      <c r="M80" s="5"/>
    </row>
    <row r="81" spans="1:13" x14ac:dyDescent="0.3">
      <c r="A81" s="5" t="s">
        <v>236</v>
      </c>
      <c r="B81" s="5" t="s">
        <v>228</v>
      </c>
      <c r="C81" s="5">
        <v>5</v>
      </c>
      <c r="D81" s="6">
        <v>10.4</v>
      </c>
      <c r="E81" s="7">
        <f t="shared" si="5"/>
        <v>52</v>
      </c>
      <c r="F81" s="5" t="s">
        <v>237</v>
      </c>
      <c r="G81" s="5" t="s">
        <v>9</v>
      </c>
      <c r="H81" s="6">
        <v>4</v>
      </c>
      <c r="I81" s="8">
        <f t="shared" si="7"/>
        <v>0.66666666666666663</v>
      </c>
      <c r="J81" s="6">
        <f t="shared" si="6"/>
        <v>7.5</v>
      </c>
      <c r="K81" s="5"/>
      <c r="L81" s="5"/>
      <c r="M81" s="5"/>
    </row>
    <row r="82" spans="1:13" x14ac:dyDescent="0.3">
      <c r="A82" s="5" t="s">
        <v>238</v>
      </c>
      <c r="B82" s="5" t="s">
        <v>239</v>
      </c>
      <c r="C82" s="5">
        <v>15</v>
      </c>
      <c r="D82" s="6">
        <v>19493.41</v>
      </c>
      <c r="E82" s="7">
        <f t="shared" si="5"/>
        <v>292401.15000000002</v>
      </c>
      <c r="F82" s="5" t="s">
        <v>240</v>
      </c>
      <c r="G82" s="5" t="s">
        <v>9</v>
      </c>
      <c r="H82" s="6">
        <f>2+15</f>
        <v>17</v>
      </c>
      <c r="I82" s="8">
        <f t="shared" si="7"/>
        <v>2.8333333333333335</v>
      </c>
      <c r="J82" s="6">
        <f t="shared" si="6"/>
        <v>5.2941176470588234</v>
      </c>
      <c r="K82" s="5"/>
      <c r="L82" s="5"/>
      <c r="M82" s="5"/>
    </row>
    <row r="83" spans="1:13" x14ac:dyDescent="0.3">
      <c r="A83" s="5" t="s">
        <v>241</v>
      </c>
      <c r="B83" s="5" t="s">
        <v>239</v>
      </c>
      <c r="C83" s="5">
        <v>1</v>
      </c>
      <c r="D83" s="6">
        <v>20288.710599999999</v>
      </c>
      <c r="E83" s="7">
        <f t="shared" si="5"/>
        <v>20288.710599999999</v>
      </c>
      <c r="F83" s="5" t="s">
        <v>242</v>
      </c>
      <c r="G83" s="5" t="s">
        <v>9</v>
      </c>
      <c r="H83" s="6">
        <v>2</v>
      </c>
      <c r="I83" s="8">
        <f t="shared" si="7"/>
        <v>0.33333333333333331</v>
      </c>
      <c r="J83" s="6">
        <f t="shared" si="6"/>
        <v>3</v>
      </c>
      <c r="K83" s="5"/>
      <c r="L83" s="5"/>
      <c r="M83" s="5"/>
    </row>
    <row r="84" spans="1:13" x14ac:dyDescent="0.3">
      <c r="A84" s="5" t="s">
        <v>247</v>
      </c>
      <c r="B84" s="5" t="s">
        <v>239</v>
      </c>
      <c r="C84" s="5">
        <v>76</v>
      </c>
      <c r="D84" s="6">
        <v>23505.392199999998</v>
      </c>
      <c r="E84" s="7">
        <f t="shared" si="5"/>
        <v>1786409.8071999999</v>
      </c>
      <c r="F84" s="5" t="s">
        <v>248</v>
      </c>
      <c r="G84" s="5" t="s">
        <v>9</v>
      </c>
      <c r="H84" s="6">
        <v>74</v>
      </c>
      <c r="I84" s="8">
        <f>+H84/3</f>
        <v>24.666666666666668</v>
      </c>
      <c r="J84" s="6">
        <f t="shared" si="6"/>
        <v>3.0810810810810811</v>
      </c>
      <c r="K84" s="5"/>
      <c r="L84" s="5"/>
      <c r="M84" s="5"/>
    </row>
    <row r="85" spans="1:13" x14ac:dyDescent="0.3">
      <c r="A85" s="5" t="s">
        <v>249</v>
      </c>
      <c r="B85" s="5" t="s">
        <v>239</v>
      </c>
      <c r="C85" s="5">
        <v>320</v>
      </c>
      <c r="D85" s="6">
        <v>12509.537762739999</v>
      </c>
      <c r="E85" s="7">
        <f t="shared" si="5"/>
        <v>4003052.0840767999</v>
      </c>
      <c r="F85" s="5" t="s">
        <v>250</v>
      </c>
      <c r="G85" s="5" t="s">
        <v>9</v>
      </c>
      <c r="H85" s="6">
        <v>348</v>
      </c>
      <c r="I85" s="8">
        <f>+H85/6</f>
        <v>58</v>
      </c>
      <c r="J85" s="6">
        <f t="shared" si="6"/>
        <v>5.5172413793103452</v>
      </c>
      <c r="K85" s="5"/>
      <c r="L85" s="5"/>
      <c r="M85" s="5"/>
    </row>
    <row r="86" spans="1:13" x14ac:dyDescent="0.3">
      <c r="A86" s="5" t="s">
        <v>255</v>
      </c>
      <c r="B86" s="5" t="s">
        <v>239</v>
      </c>
      <c r="C86" s="5">
        <v>382</v>
      </c>
      <c r="D86" s="6">
        <v>11610.30569617</v>
      </c>
      <c r="E86" s="7">
        <f t="shared" si="5"/>
        <v>4435136.7759369398</v>
      </c>
      <c r="F86" s="5" t="s">
        <v>256</v>
      </c>
      <c r="G86" s="5" t="s">
        <v>9</v>
      </c>
      <c r="H86" s="6">
        <v>465</v>
      </c>
      <c r="I86" s="8">
        <f>+H86/6</f>
        <v>77.5</v>
      </c>
      <c r="J86" s="6">
        <f t="shared" si="6"/>
        <v>4.9290322580645158</v>
      </c>
      <c r="K86" s="5"/>
      <c r="L86" s="5"/>
      <c r="M86" s="5"/>
    </row>
    <row r="87" spans="1:13" x14ac:dyDescent="0.3">
      <c r="A87" s="5" t="s">
        <v>257</v>
      </c>
      <c r="B87" s="5" t="s">
        <v>239</v>
      </c>
      <c r="C87" s="5">
        <v>63</v>
      </c>
      <c r="D87" s="6">
        <v>26053.602197799999</v>
      </c>
      <c r="E87" s="7">
        <f t="shared" si="5"/>
        <v>1641376.9384613999</v>
      </c>
      <c r="F87" s="5" t="s">
        <v>258</v>
      </c>
      <c r="G87" s="5" t="s">
        <v>9</v>
      </c>
      <c r="H87" s="6">
        <v>117</v>
      </c>
      <c r="I87" s="8">
        <f>+H87/1</f>
        <v>117</v>
      </c>
      <c r="J87" s="6">
        <f t="shared" si="6"/>
        <v>0.53846153846153844</v>
      </c>
      <c r="K87" s="5"/>
      <c r="L87" s="5"/>
      <c r="M87" s="5"/>
    </row>
    <row r="88" spans="1:13" x14ac:dyDescent="0.3">
      <c r="A88" s="5" t="s">
        <v>259</v>
      </c>
      <c r="B88" s="5" t="s">
        <v>239</v>
      </c>
      <c r="C88" s="5">
        <v>16</v>
      </c>
      <c r="D88" s="6">
        <v>18324.331119999999</v>
      </c>
      <c r="E88" s="7">
        <f t="shared" si="5"/>
        <v>293189.29791999998</v>
      </c>
      <c r="F88" s="5" t="s">
        <v>260</v>
      </c>
      <c r="G88" s="5" t="s">
        <v>9</v>
      </c>
      <c r="H88" s="6">
        <v>59</v>
      </c>
      <c r="I88" s="8">
        <f>+H88/6</f>
        <v>9.8333333333333339</v>
      </c>
      <c r="J88" s="6">
        <f t="shared" si="6"/>
        <v>1.6271186440677965</v>
      </c>
      <c r="K88" s="5"/>
      <c r="L88" s="5"/>
      <c r="M88" s="5"/>
    </row>
    <row r="89" spans="1:13" x14ac:dyDescent="0.3">
      <c r="A89" s="5" t="s">
        <v>261</v>
      </c>
      <c r="B89" s="5" t="s">
        <v>239</v>
      </c>
      <c r="C89" s="5">
        <f>227+280</f>
        <v>507</v>
      </c>
      <c r="D89" s="6">
        <v>11008.859861950001</v>
      </c>
      <c r="E89" s="7">
        <f t="shared" si="5"/>
        <v>5581491.9500086503</v>
      </c>
      <c r="F89" s="5" t="s">
        <v>262</v>
      </c>
      <c r="G89" s="5" t="s">
        <v>9</v>
      </c>
      <c r="H89" s="6">
        <v>918</v>
      </c>
      <c r="I89" s="8">
        <f>+H89/6</f>
        <v>153</v>
      </c>
      <c r="J89" s="6">
        <f t="shared" si="6"/>
        <v>3.3137254901960786</v>
      </c>
      <c r="K89" s="5"/>
      <c r="L89" s="5"/>
      <c r="M89" s="5"/>
    </row>
    <row r="90" spans="1:13" x14ac:dyDescent="0.3">
      <c r="A90" s="5" t="s">
        <v>265</v>
      </c>
      <c r="B90" s="5" t="s">
        <v>239</v>
      </c>
      <c r="C90" s="5">
        <v>171</v>
      </c>
      <c r="D90" s="6">
        <v>13693.0104357</v>
      </c>
      <c r="E90" s="7">
        <f t="shared" si="5"/>
        <v>2341504.7845047</v>
      </c>
      <c r="F90" s="5" t="s">
        <v>266</v>
      </c>
      <c r="G90" s="5" t="s">
        <v>9</v>
      </c>
      <c r="H90" s="6">
        <v>425</v>
      </c>
      <c r="I90" s="8">
        <f>+H90/6</f>
        <v>70.833333333333329</v>
      </c>
      <c r="J90" s="6">
        <f t="shared" si="6"/>
        <v>2.4141176470588235</v>
      </c>
      <c r="K90" s="5"/>
      <c r="L90" s="5"/>
      <c r="M90" s="5"/>
    </row>
    <row r="91" spans="1:13" x14ac:dyDescent="0.3">
      <c r="A91" s="5" t="s">
        <v>267</v>
      </c>
      <c r="B91" s="5" t="s">
        <v>239</v>
      </c>
      <c r="C91" s="5">
        <v>22</v>
      </c>
      <c r="D91" s="6">
        <v>11714.745000000001</v>
      </c>
      <c r="E91" s="7">
        <f t="shared" si="5"/>
        <v>257724.39</v>
      </c>
      <c r="F91" s="5" t="s">
        <v>268</v>
      </c>
      <c r="G91" s="5" t="s">
        <v>9</v>
      </c>
      <c r="H91" s="6">
        <v>62</v>
      </c>
      <c r="I91" s="8">
        <f>+H91/0.1</f>
        <v>620</v>
      </c>
      <c r="J91" s="6">
        <f t="shared" si="6"/>
        <v>3.5483870967741936E-2</v>
      </c>
      <c r="K91" s="5"/>
      <c r="L91" s="5"/>
      <c r="M91" s="5"/>
    </row>
    <row r="92" spans="1:13" x14ac:dyDescent="0.3">
      <c r="A92" s="5" t="s">
        <v>269</v>
      </c>
      <c r="B92" s="5" t="s">
        <v>239</v>
      </c>
      <c r="C92" s="5">
        <v>12</v>
      </c>
      <c r="D92" s="6">
        <v>28286.328300000001</v>
      </c>
      <c r="E92" s="7">
        <f t="shared" si="5"/>
        <v>339435.93960000004</v>
      </c>
      <c r="F92" s="5" t="s">
        <v>270</v>
      </c>
      <c r="G92" s="5" t="s">
        <v>9</v>
      </c>
      <c r="H92" s="6">
        <v>0</v>
      </c>
      <c r="I92" s="8">
        <f>+H92/4</f>
        <v>0</v>
      </c>
      <c r="J92" s="6" t="e">
        <f t="shared" si="6"/>
        <v>#DIV/0!</v>
      </c>
      <c r="K92" s="5"/>
      <c r="L92" s="18">
        <v>45972</v>
      </c>
      <c r="M92" s="5" t="s">
        <v>673</v>
      </c>
    </row>
    <row r="93" spans="1:13" x14ac:dyDescent="0.3">
      <c r="A93" s="5" t="s">
        <v>271</v>
      </c>
      <c r="B93" s="5" t="s">
        <v>239</v>
      </c>
      <c r="C93" s="5">
        <v>2</v>
      </c>
      <c r="D93" s="6">
        <v>24896.4437</v>
      </c>
      <c r="E93" s="7">
        <f t="shared" si="5"/>
        <v>49792.8874</v>
      </c>
      <c r="F93" s="5" t="s">
        <v>272</v>
      </c>
      <c r="G93" s="5" t="s">
        <v>9</v>
      </c>
      <c r="H93" s="6">
        <v>2</v>
      </c>
      <c r="I93" s="8">
        <f>+H93/4</f>
        <v>0.5</v>
      </c>
      <c r="J93" s="6">
        <f t="shared" si="6"/>
        <v>4</v>
      </c>
      <c r="K93" s="5"/>
      <c r="L93" s="18">
        <v>45972</v>
      </c>
      <c r="M93" s="5" t="s">
        <v>673</v>
      </c>
    </row>
    <row r="94" spans="1:13" x14ac:dyDescent="0.3">
      <c r="A94" s="5" t="s">
        <v>273</v>
      </c>
      <c r="B94" s="5" t="s">
        <v>274</v>
      </c>
      <c r="C94" s="5">
        <v>23600</v>
      </c>
      <c r="D94" s="6">
        <v>5.4453555600000003</v>
      </c>
      <c r="E94" s="7">
        <f t="shared" si="5"/>
        <v>128510.391216</v>
      </c>
      <c r="F94" s="5" t="s">
        <v>275</v>
      </c>
      <c r="G94" s="5" t="s">
        <v>9</v>
      </c>
      <c r="H94" s="6">
        <v>37952</v>
      </c>
      <c r="I94" s="8">
        <f t="shared" ref="I94:I119" si="8">+H94/6</f>
        <v>6325.333333333333</v>
      </c>
      <c r="J94" s="6">
        <f t="shared" si="6"/>
        <v>3.7310286677908939</v>
      </c>
      <c r="K94" s="5"/>
      <c r="L94" s="5"/>
      <c r="M94" s="5"/>
    </row>
    <row r="95" spans="1:13" x14ac:dyDescent="0.3">
      <c r="A95" s="5" t="s">
        <v>276</v>
      </c>
      <c r="B95" s="5" t="s">
        <v>274</v>
      </c>
      <c r="C95" s="5">
        <v>37953</v>
      </c>
      <c r="D95" s="6">
        <v>6.9143430600000002</v>
      </c>
      <c r="E95" s="7">
        <f t="shared" ref="E95:E150" si="9">+C95*D95</f>
        <v>262420.06215618004</v>
      </c>
      <c r="F95" s="5" t="s">
        <v>277</v>
      </c>
      <c r="G95" s="5" t="s">
        <v>9</v>
      </c>
      <c r="H95" s="6">
        <v>53591</v>
      </c>
      <c r="I95" s="8">
        <f t="shared" si="8"/>
        <v>8931.8333333333339</v>
      </c>
      <c r="J95" s="6">
        <f t="shared" ref="J95:J150" si="10">+C95/I95</f>
        <v>4.2491836315799292</v>
      </c>
      <c r="K95" s="5"/>
      <c r="L95" s="5"/>
      <c r="M95" s="5"/>
    </row>
    <row r="96" spans="1:13" x14ac:dyDescent="0.3">
      <c r="A96" s="5" t="s">
        <v>278</v>
      </c>
      <c r="B96" s="5" t="s">
        <v>274</v>
      </c>
      <c r="C96" s="5">
        <v>142</v>
      </c>
      <c r="D96" s="6">
        <v>5.9107343099999996</v>
      </c>
      <c r="E96" s="7">
        <f t="shared" si="9"/>
        <v>839.32427201999997</v>
      </c>
      <c r="F96" s="5" t="s">
        <v>279</v>
      </c>
      <c r="G96" s="5" t="s">
        <v>9</v>
      </c>
      <c r="H96" s="6">
        <v>8913</v>
      </c>
      <c r="I96" s="8">
        <f t="shared" si="8"/>
        <v>1485.5</v>
      </c>
      <c r="J96" s="6">
        <f t="shared" si="10"/>
        <v>9.5590710198586337E-2</v>
      </c>
      <c r="K96" s="5"/>
      <c r="L96" s="5"/>
      <c r="M96" s="5"/>
    </row>
    <row r="97" spans="1:13" x14ac:dyDescent="0.3">
      <c r="A97" s="5" t="s">
        <v>280</v>
      </c>
      <c r="B97" s="5" t="s">
        <v>274</v>
      </c>
      <c r="C97" s="5">
        <v>42</v>
      </c>
      <c r="D97" s="6">
        <v>6.1585999999999999</v>
      </c>
      <c r="E97" s="7">
        <f t="shared" si="9"/>
        <v>258.66120000000001</v>
      </c>
      <c r="F97" s="5" t="s">
        <v>281</v>
      </c>
      <c r="G97" s="5" t="s">
        <v>9</v>
      </c>
      <c r="H97" s="6">
        <v>12</v>
      </c>
      <c r="I97" s="8">
        <f t="shared" si="8"/>
        <v>2</v>
      </c>
      <c r="J97" s="6">
        <f t="shared" si="10"/>
        <v>21</v>
      </c>
      <c r="K97" s="5"/>
      <c r="L97" s="18">
        <v>45898</v>
      </c>
      <c r="M97" s="5" t="s">
        <v>690</v>
      </c>
    </row>
    <row r="98" spans="1:13" x14ac:dyDescent="0.3">
      <c r="A98" s="5" t="s">
        <v>282</v>
      </c>
      <c r="B98" s="5" t="s">
        <v>274</v>
      </c>
      <c r="C98" s="5">
        <v>256</v>
      </c>
      <c r="D98" s="6">
        <v>3.9203079399999998</v>
      </c>
      <c r="E98" s="7">
        <f t="shared" si="9"/>
        <v>1003.59883264</v>
      </c>
      <c r="F98" s="5" t="s">
        <v>283</v>
      </c>
      <c r="G98" s="5" t="s">
        <v>9</v>
      </c>
      <c r="H98" s="6">
        <v>7514</v>
      </c>
      <c r="I98" s="8">
        <f t="shared" si="8"/>
        <v>1252.3333333333333</v>
      </c>
      <c r="J98" s="6">
        <f t="shared" si="10"/>
        <v>0.20441841895129093</v>
      </c>
      <c r="K98" s="5"/>
      <c r="L98" s="5"/>
      <c r="M98" s="5"/>
    </row>
    <row r="99" spans="1:13" x14ac:dyDescent="0.3">
      <c r="A99" s="5" t="s">
        <v>284</v>
      </c>
      <c r="B99" s="5" t="s">
        <v>274</v>
      </c>
      <c r="C99" s="5">
        <v>66</v>
      </c>
      <c r="D99" s="6">
        <v>8.1802178199999993</v>
      </c>
      <c r="E99" s="7">
        <f t="shared" si="9"/>
        <v>539.89437611999995</v>
      </c>
      <c r="F99" s="5" t="s">
        <v>285</v>
      </c>
      <c r="G99" s="5" t="s">
        <v>9</v>
      </c>
      <c r="H99" s="6">
        <v>1606</v>
      </c>
      <c r="I99" s="8">
        <f t="shared" si="8"/>
        <v>267.66666666666669</v>
      </c>
      <c r="J99" s="6">
        <f t="shared" si="10"/>
        <v>0.24657534246575341</v>
      </c>
      <c r="K99" s="5"/>
      <c r="L99" s="5"/>
      <c r="M99" s="5"/>
    </row>
    <row r="100" spans="1:13" x14ac:dyDescent="0.3">
      <c r="A100" s="5" t="s">
        <v>286</v>
      </c>
      <c r="B100" s="5" t="s">
        <v>274</v>
      </c>
      <c r="C100" s="5">
        <v>77</v>
      </c>
      <c r="D100" s="6">
        <v>4.6074483300000004</v>
      </c>
      <c r="E100" s="7">
        <f t="shared" si="9"/>
        <v>354.77352141000006</v>
      </c>
      <c r="F100" s="5" t="s">
        <v>287</v>
      </c>
      <c r="G100" s="5" t="s">
        <v>9</v>
      </c>
      <c r="H100" s="6">
        <v>1696</v>
      </c>
      <c r="I100" s="8">
        <f t="shared" si="8"/>
        <v>282.66666666666669</v>
      </c>
      <c r="J100" s="6">
        <f t="shared" si="10"/>
        <v>0.27240566037735847</v>
      </c>
      <c r="K100" s="5"/>
      <c r="L100" s="5"/>
      <c r="M100" s="5"/>
    </row>
    <row r="101" spans="1:13" x14ac:dyDescent="0.3">
      <c r="A101" s="5" t="s">
        <v>288</v>
      </c>
      <c r="B101" s="5" t="s">
        <v>274</v>
      </c>
      <c r="C101" s="5">
        <v>32</v>
      </c>
      <c r="D101" s="6">
        <v>6.1070370699999996</v>
      </c>
      <c r="E101" s="7">
        <f t="shared" si="9"/>
        <v>195.42518623999999</v>
      </c>
      <c r="F101" s="5" t="s">
        <v>289</v>
      </c>
      <c r="G101" s="5" t="s">
        <v>9</v>
      </c>
      <c r="H101" s="6">
        <v>7221</v>
      </c>
      <c r="I101" s="8">
        <f t="shared" si="8"/>
        <v>1203.5</v>
      </c>
      <c r="J101" s="6">
        <f t="shared" si="10"/>
        <v>2.658911508101371E-2</v>
      </c>
      <c r="K101" s="5"/>
      <c r="L101" s="5"/>
      <c r="M101" s="5"/>
    </row>
    <row r="102" spans="1:13" x14ac:dyDescent="0.3">
      <c r="A102" s="5" t="s">
        <v>290</v>
      </c>
      <c r="B102" s="5" t="s">
        <v>274</v>
      </c>
      <c r="C102" s="5">
        <v>1302</v>
      </c>
      <c r="D102" s="6">
        <v>5.7301956499999998</v>
      </c>
      <c r="E102" s="7">
        <f t="shared" si="9"/>
        <v>7460.7147362999995</v>
      </c>
      <c r="F102" s="5" t="s">
        <v>291</v>
      </c>
      <c r="G102" s="5" t="s">
        <v>9</v>
      </c>
      <c r="H102" s="6">
        <v>5798</v>
      </c>
      <c r="I102" s="8">
        <f t="shared" si="8"/>
        <v>966.33333333333337</v>
      </c>
      <c r="J102" s="6">
        <f t="shared" si="10"/>
        <v>1.3473611590203518</v>
      </c>
      <c r="K102" s="5"/>
      <c r="L102" s="5"/>
      <c r="M102" s="5"/>
    </row>
    <row r="103" spans="1:13" x14ac:dyDescent="0.3">
      <c r="A103" s="5" t="s">
        <v>292</v>
      </c>
      <c r="B103" s="5" t="s">
        <v>274</v>
      </c>
      <c r="C103" s="5">
        <v>34624</v>
      </c>
      <c r="D103" s="6">
        <v>3.06359257</v>
      </c>
      <c r="E103" s="7">
        <f t="shared" si="9"/>
        <v>106073.82914367999</v>
      </c>
      <c r="F103" s="5" t="s">
        <v>293</v>
      </c>
      <c r="G103" s="5" t="s">
        <v>9</v>
      </c>
      <c r="H103" s="6">
        <v>284411</v>
      </c>
      <c r="I103" s="8">
        <f t="shared" si="8"/>
        <v>47401.833333333336</v>
      </c>
      <c r="J103" s="6">
        <f t="shared" si="10"/>
        <v>0.73043588328158893</v>
      </c>
      <c r="K103" s="5"/>
      <c r="L103" s="5"/>
      <c r="M103" s="5"/>
    </row>
    <row r="104" spans="1:13" x14ac:dyDescent="0.3">
      <c r="A104" s="5" t="s">
        <v>294</v>
      </c>
      <c r="B104" s="5" t="s">
        <v>274</v>
      </c>
      <c r="C104" s="5">
        <v>29575</v>
      </c>
      <c r="D104" s="6">
        <v>6.4028775400000004</v>
      </c>
      <c r="E104" s="7">
        <f t="shared" si="9"/>
        <v>189365.10324550001</v>
      </c>
      <c r="F104" s="5" t="s">
        <v>295</v>
      </c>
      <c r="G104" s="5" t="s">
        <v>9</v>
      </c>
      <c r="H104" s="6">
        <v>96426</v>
      </c>
      <c r="I104" s="8">
        <f t="shared" si="8"/>
        <v>16071</v>
      </c>
      <c r="J104" s="6">
        <f t="shared" si="10"/>
        <v>1.8402712961234522</v>
      </c>
      <c r="K104" s="5"/>
      <c r="L104" s="5"/>
      <c r="M104" s="5"/>
    </row>
    <row r="105" spans="1:13" x14ac:dyDescent="0.3">
      <c r="A105" s="5" t="s">
        <v>296</v>
      </c>
      <c r="B105" s="5" t="s">
        <v>274</v>
      </c>
      <c r="C105" s="5">
        <v>988</v>
      </c>
      <c r="D105" s="6">
        <v>8.7034678999999997</v>
      </c>
      <c r="E105" s="7">
        <f t="shared" si="9"/>
        <v>8599.0262851999996</v>
      </c>
      <c r="F105" s="5" t="s">
        <v>297</v>
      </c>
      <c r="G105" s="5" t="s">
        <v>9</v>
      </c>
      <c r="H105" s="6">
        <v>2920</v>
      </c>
      <c r="I105" s="8">
        <f t="shared" si="8"/>
        <v>486.66666666666669</v>
      </c>
      <c r="J105" s="6">
        <f t="shared" si="10"/>
        <v>2.0301369863013696</v>
      </c>
      <c r="K105" s="5"/>
      <c r="L105" s="5"/>
      <c r="M105" s="5"/>
    </row>
    <row r="106" spans="1:13" x14ac:dyDescent="0.3">
      <c r="A106" s="5" t="s">
        <v>298</v>
      </c>
      <c r="B106" s="5" t="s">
        <v>274</v>
      </c>
      <c r="C106" s="5">
        <v>1669</v>
      </c>
      <c r="D106" s="6">
        <v>2.99651398</v>
      </c>
      <c r="E106" s="7">
        <f t="shared" si="9"/>
        <v>5001.18183262</v>
      </c>
      <c r="F106" s="5" t="s">
        <v>299</v>
      </c>
      <c r="G106" s="5" t="s">
        <v>9</v>
      </c>
      <c r="H106" s="6">
        <v>434314</v>
      </c>
      <c r="I106" s="8">
        <f t="shared" si="8"/>
        <v>72385.666666666672</v>
      </c>
      <c r="J106" s="6">
        <f t="shared" si="10"/>
        <v>2.3057050889448646E-2</v>
      </c>
      <c r="K106" s="5"/>
      <c r="L106" s="5"/>
      <c r="M106" s="5"/>
    </row>
    <row r="107" spans="1:13" x14ac:dyDescent="0.3">
      <c r="A107" s="5" t="s">
        <v>300</v>
      </c>
      <c r="B107" s="5" t="s">
        <v>274</v>
      </c>
      <c r="C107" s="5">
        <v>8313</v>
      </c>
      <c r="D107" s="6">
        <v>4.8462192499999999</v>
      </c>
      <c r="E107" s="7">
        <f t="shared" si="9"/>
        <v>40286.620625249998</v>
      </c>
      <c r="F107" s="5" t="s">
        <v>301</v>
      </c>
      <c r="G107" s="5" t="s">
        <v>9</v>
      </c>
      <c r="H107" s="6">
        <v>30396</v>
      </c>
      <c r="I107" s="8">
        <f t="shared" si="8"/>
        <v>5066</v>
      </c>
      <c r="J107" s="6">
        <f t="shared" si="10"/>
        <v>1.6409395973154361</v>
      </c>
      <c r="K107" s="5"/>
      <c r="L107" s="5"/>
      <c r="M107" s="5"/>
    </row>
    <row r="108" spans="1:13" x14ac:dyDescent="0.3">
      <c r="A108" s="5" t="s">
        <v>302</v>
      </c>
      <c r="B108" s="5" t="s">
        <v>274</v>
      </c>
      <c r="C108" s="5">
        <v>900</v>
      </c>
      <c r="D108" s="6">
        <v>10.378972409999999</v>
      </c>
      <c r="E108" s="7">
        <f t="shared" si="9"/>
        <v>9341.0751689999997</v>
      </c>
      <c r="F108" s="5" t="s">
        <v>303</v>
      </c>
      <c r="G108" s="5" t="s">
        <v>9</v>
      </c>
      <c r="H108" s="6">
        <v>6343</v>
      </c>
      <c r="I108" s="8">
        <f t="shared" si="8"/>
        <v>1057.1666666666667</v>
      </c>
      <c r="J108" s="6">
        <f t="shared" si="10"/>
        <v>0.85133217720321608</v>
      </c>
      <c r="K108" s="5"/>
      <c r="L108" s="5"/>
      <c r="M108" s="5"/>
    </row>
    <row r="109" spans="1:13" x14ac:dyDescent="0.3">
      <c r="A109" s="5" t="s">
        <v>304</v>
      </c>
      <c r="B109" s="5" t="s">
        <v>274</v>
      </c>
      <c r="C109" s="5">
        <v>7342</v>
      </c>
      <c r="D109" s="6">
        <v>7.8631464800000002</v>
      </c>
      <c r="E109" s="7">
        <f t="shared" si="9"/>
        <v>57731.221456159998</v>
      </c>
      <c r="F109" s="5" t="s">
        <v>305</v>
      </c>
      <c r="G109" s="5" t="s">
        <v>9</v>
      </c>
      <c r="H109" s="6">
        <v>9461</v>
      </c>
      <c r="I109" s="8">
        <f t="shared" si="8"/>
        <v>1576.8333333333333</v>
      </c>
      <c r="J109" s="6">
        <f t="shared" si="10"/>
        <v>4.6561674241623505</v>
      </c>
      <c r="K109" s="5"/>
      <c r="L109" s="5"/>
      <c r="M109" s="5"/>
    </row>
    <row r="110" spans="1:13" x14ac:dyDescent="0.3">
      <c r="A110" s="5" t="s">
        <v>306</v>
      </c>
      <c r="B110" s="5" t="s">
        <v>274</v>
      </c>
      <c r="C110" s="5">
        <v>154</v>
      </c>
      <c r="D110" s="6">
        <v>5.1482999999999999</v>
      </c>
      <c r="E110" s="7">
        <f t="shared" si="9"/>
        <v>792.83820000000003</v>
      </c>
      <c r="F110" s="5" t="s">
        <v>307</v>
      </c>
      <c r="G110" s="5" t="s">
        <v>9</v>
      </c>
      <c r="H110" s="6">
        <v>12293</v>
      </c>
      <c r="I110" s="8">
        <f t="shared" si="8"/>
        <v>2048.8333333333335</v>
      </c>
      <c r="J110" s="6">
        <f t="shared" si="10"/>
        <v>7.5164727893923367E-2</v>
      </c>
      <c r="K110" s="5"/>
      <c r="L110" s="5"/>
      <c r="M110" s="5"/>
    </row>
    <row r="111" spans="1:13" x14ac:dyDescent="0.3">
      <c r="A111" s="5" t="s">
        <v>308</v>
      </c>
      <c r="B111" s="5" t="s">
        <v>274</v>
      </c>
      <c r="C111" s="5">
        <f>1900*5</f>
        <v>9500</v>
      </c>
      <c r="D111" s="6">
        <v>5.8869135300000002</v>
      </c>
      <c r="E111" s="7">
        <f t="shared" si="9"/>
        <v>55925.678534999999</v>
      </c>
      <c r="F111" s="5" t="s">
        <v>309</v>
      </c>
      <c r="G111" s="5" t="s">
        <v>9</v>
      </c>
      <c r="H111" s="6">
        <v>11082</v>
      </c>
      <c r="I111" s="8">
        <f t="shared" si="8"/>
        <v>1847</v>
      </c>
      <c r="J111" s="6">
        <f t="shared" si="10"/>
        <v>5.1434759068760147</v>
      </c>
      <c r="K111" s="5"/>
      <c r="L111" s="5"/>
      <c r="M111" s="5"/>
    </row>
    <row r="112" spans="1:13" x14ac:dyDescent="0.3">
      <c r="A112" s="5" t="s">
        <v>310</v>
      </c>
      <c r="B112" s="5" t="s">
        <v>274</v>
      </c>
      <c r="C112" s="5">
        <v>58</v>
      </c>
      <c r="D112" s="6">
        <v>5.5699462899999999</v>
      </c>
      <c r="E112" s="7">
        <f t="shared" si="9"/>
        <v>323.05688481999999</v>
      </c>
      <c r="F112" s="5" t="s">
        <v>311</v>
      </c>
      <c r="G112" s="5" t="s">
        <v>9</v>
      </c>
      <c r="H112" s="6">
        <v>6763</v>
      </c>
      <c r="I112" s="8">
        <f t="shared" si="8"/>
        <v>1127.1666666666667</v>
      </c>
      <c r="J112" s="6">
        <f t="shared" si="10"/>
        <v>5.145645423628567E-2</v>
      </c>
      <c r="K112" s="5"/>
      <c r="L112" s="5"/>
      <c r="M112" s="5"/>
    </row>
    <row r="113" spans="1:13" x14ac:dyDescent="0.3">
      <c r="A113" s="5" t="s">
        <v>312</v>
      </c>
      <c r="B113" s="5" t="s">
        <v>274</v>
      </c>
      <c r="C113" s="5">
        <v>4765</v>
      </c>
      <c r="D113" s="6">
        <v>6.4800474000000001</v>
      </c>
      <c r="E113" s="7">
        <f t="shared" si="9"/>
        <v>30877.425861</v>
      </c>
      <c r="F113" s="5" t="s">
        <v>313</v>
      </c>
      <c r="G113" s="5" t="s">
        <v>9</v>
      </c>
      <c r="H113" s="6">
        <v>24394</v>
      </c>
      <c r="I113" s="8">
        <f t="shared" si="8"/>
        <v>4065.6666666666665</v>
      </c>
      <c r="J113" s="6">
        <f t="shared" si="10"/>
        <v>1.1720095105353776</v>
      </c>
      <c r="K113" s="5"/>
      <c r="L113" s="5"/>
      <c r="M113" s="5"/>
    </row>
    <row r="114" spans="1:13" x14ac:dyDescent="0.3">
      <c r="A114" s="5" t="s">
        <v>314</v>
      </c>
      <c r="B114" s="5" t="s">
        <v>274</v>
      </c>
      <c r="C114" s="5">
        <f>560*5</f>
        <v>2800</v>
      </c>
      <c r="D114" s="6">
        <v>7.6250131300000001</v>
      </c>
      <c r="E114" s="7">
        <f t="shared" si="9"/>
        <v>21350.036764</v>
      </c>
      <c r="F114" s="5" t="s">
        <v>315</v>
      </c>
      <c r="G114" s="5" t="s">
        <v>9</v>
      </c>
      <c r="H114" s="6">
        <v>3328</v>
      </c>
      <c r="I114" s="8">
        <f t="shared" si="8"/>
        <v>554.66666666666663</v>
      </c>
      <c r="J114" s="6">
        <f t="shared" si="10"/>
        <v>5.0480769230769234</v>
      </c>
      <c r="K114" s="5"/>
      <c r="L114" s="5"/>
      <c r="M114" s="5"/>
    </row>
    <row r="115" spans="1:13" x14ac:dyDescent="0.3">
      <c r="A115" s="5" t="s">
        <v>316</v>
      </c>
      <c r="B115" s="5" t="s">
        <v>274</v>
      </c>
      <c r="C115" s="5">
        <v>12477</v>
      </c>
      <c r="D115" s="6">
        <v>3.4188000000000001</v>
      </c>
      <c r="E115" s="7">
        <f t="shared" si="9"/>
        <v>42656.367599999998</v>
      </c>
      <c r="F115" s="5" t="s">
        <v>317</v>
      </c>
      <c r="G115" s="5" t="s">
        <v>9</v>
      </c>
      <c r="H115" s="6">
        <v>38333</v>
      </c>
      <c r="I115" s="8">
        <f t="shared" si="8"/>
        <v>6388.833333333333</v>
      </c>
      <c r="J115" s="6">
        <f t="shared" si="10"/>
        <v>1.9529387212062714</v>
      </c>
      <c r="K115" s="5"/>
      <c r="L115" s="5"/>
      <c r="M115" s="5"/>
    </row>
    <row r="116" spans="1:13" x14ac:dyDescent="0.3">
      <c r="A116" s="5" t="s">
        <v>318</v>
      </c>
      <c r="B116" s="5" t="s">
        <v>274</v>
      </c>
      <c r="C116" s="5">
        <v>10160</v>
      </c>
      <c r="D116" s="6">
        <v>3.4188000000000001</v>
      </c>
      <c r="E116" s="7">
        <f t="shared" si="9"/>
        <v>34735.008000000002</v>
      </c>
      <c r="F116" s="5" t="s">
        <v>319</v>
      </c>
      <c r="G116" s="5" t="s">
        <v>9</v>
      </c>
      <c r="H116" s="6">
        <v>56211</v>
      </c>
      <c r="I116" s="8">
        <f t="shared" si="8"/>
        <v>9368.5</v>
      </c>
      <c r="J116" s="6">
        <f t="shared" si="10"/>
        <v>1.0844852431018839</v>
      </c>
      <c r="K116" s="5"/>
      <c r="L116" s="5"/>
      <c r="M116" s="5"/>
    </row>
    <row r="117" spans="1:13" x14ac:dyDescent="0.3">
      <c r="A117" s="5" t="s">
        <v>320</v>
      </c>
      <c r="B117" s="5" t="s">
        <v>274</v>
      </c>
      <c r="C117" s="5">
        <v>607</v>
      </c>
      <c r="D117" s="6">
        <v>3.41880666</v>
      </c>
      <c r="E117" s="7">
        <f t="shared" si="9"/>
        <v>2075.2156426199999</v>
      </c>
      <c r="F117" s="5" t="s">
        <v>321</v>
      </c>
      <c r="G117" s="5" t="s">
        <v>9</v>
      </c>
      <c r="H117" s="6">
        <v>331690</v>
      </c>
      <c r="I117" s="8">
        <f t="shared" si="8"/>
        <v>55281.666666666664</v>
      </c>
      <c r="J117" s="6">
        <f t="shared" si="10"/>
        <v>1.0980132051011487E-2</v>
      </c>
      <c r="K117" s="5"/>
      <c r="L117" s="5"/>
      <c r="M117" s="5"/>
    </row>
    <row r="118" spans="1:13" x14ac:dyDescent="0.3">
      <c r="A118" s="5" t="s">
        <v>322</v>
      </c>
      <c r="B118" s="5" t="s">
        <v>274</v>
      </c>
      <c r="C118" s="5">
        <v>69</v>
      </c>
      <c r="D118" s="6">
        <v>11.07290096</v>
      </c>
      <c r="E118" s="7">
        <f t="shared" si="9"/>
        <v>764.03016623999997</v>
      </c>
      <c r="F118" s="5" t="s">
        <v>323</v>
      </c>
      <c r="G118" s="5" t="s">
        <v>9</v>
      </c>
      <c r="H118" s="6">
        <v>1965</v>
      </c>
      <c r="I118" s="8">
        <f t="shared" si="8"/>
        <v>327.5</v>
      </c>
      <c r="J118" s="6">
        <f t="shared" si="10"/>
        <v>0.21068702290076335</v>
      </c>
      <c r="K118" s="5"/>
      <c r="L118" s="5"/>
      <c r="M118" s="5"/>
    </row>
    <row r="119" spans="1:13" x14ac:dyDescent="0.3">
      <c r="A119" s="5" t="s">
        <v>324</v>
      </c>
      <c r="B119" s="5" t="s">
        <v>274</v>
      </c>
      <c r="C119" s="5">
        <v>58</v>
      </c>
      <c r="D119" s="6">
        <v>5.83</v>
      </c>
      <c r="E119" s="7">
        <f t="shared" si="9"/>
        <v>338.14</v>
      </c>
      <c r="F119" s="5" t="s">
        <v>325</v>
      </c>
      <c r="G119" s="5" t="s">
        <v>9</v>
      </c>
      <c r="H119" s="6">
        <v>24342</v>
      </c>
      <c r="I119" s="8">
        <f t="shared" si="8"/>
        <v>4057</v>
      </c>
      <c r="J119" s="6">
        <f t="shared" si="10"/>
        <v>1.4296278037959083E-2</v>
      </c>
      <c r="K119" s="5"/>
      <c r="L119" s="5"/>
      <c r="M119" s="5"/>
    </row>
    <row r="120" spans="1:13" x14ac:dyDescent="0.3">
      <c r="A120" s="5" t="s">
        <v>328</v>
      </c>
      <c r="B120" s="5" t="s">
        <v>274</v>
      </c>
      <c r="C120" s="5">
        <f>180*5</f>
        <v>900</v>
      </c>
      <c r="D120" s="6">
        <v>7.8286355700000003</v>
      </c>
      <c r="E120" s="7">
        <f t="shared" si="9"/>
        <v>7045.7720130000007</v>
      </c>
      <c r="F120" s="5" t="s">
        <v>329</v>
      </c>
      <c r="G120" s="5" t="s">
        <v>9</v>
      </c>
      <c r="H120" s="6">
        <v>915</v>
      </c>
      <c r="I120" s="8">
        <f>+H120/5.2</f>
        <v>175.96153846153845</v>
      </c>
      <c r="J120" s="6">
        <f t="shared" si="10"/>
        <v>5.1147540983606561</v>
      </c>
      <c r="K120" s="5"/>
      <c r="L120" s="18">
        <v>46063</v>
      </c>
      <c r="M120" s="5" t="s">
        <v>681</v>
      </c>
    </row>
    <row r="121" spans="1:13" x14ac:dyDescent="0.3">
      <c r="A121" s="5" t="s">
        <v>330</v>
      </c>
      <c r="B121" s="5" t="s">
        <v>274</v>
      </c>
      <c r="C121" s="5">
        <v>11320</v>
      </c>
      <c r="D121" s="6">
        <v>7.8290264900000004</v>
      </c>
      <c r="E121" s="7">
        <f t="shared" si="9"/>
        <v>88624.579866800006</v>
      </c>
      <c r="F121" s="5" t="s">
        <v>331</v>
      </c>
      <c r="G121" s="5" t="s">
        <v>9</v>
      </c>
      <c r="H121" s="6">
        <v>31150</v>
      </c>
      <c r="I121" s="8">
        <f>+H121/6</f>
        <v>5191.666666666667</v>
      </c>
      <c r="J121" s="6">
        <f t="shared" si="10"/>
        <v>2.180417335473515</v>
      </c>
      <c r="K121" s="5"/>
      <c r="L121" s="5"/>
      <c r="M121" s="5"/>
    </row>
    <row r="122" spans="1:13" x14ac:dyDescent="0.3">
      <c r="A122" s="5" t="s">
        <v>332</v>
      </c>
      <c r="B122" s="5" t="s">
        <v>274</v>
      </c>
      <c r="C122" s="5">
        <v>970</v>
      </c>
      <c r="D122" s="6">
        <v>7.83</v>
      </c>
      <c r="E122" s="7">
        <f t="shared" si="9"/>
        <v>7595.1</v>
      </c>
      <c r="F122" s="5" t="s">
        <v>333</v>
      </c>
      <c r="G122" s="5" t="s">
        <v>9</v>
      </c>
      <c r="H122" s="6">
        <v>45500</v>
      </c>
      <c r="I122" s="8">
        <f>+H122/6</f>
        <v>7583.333333333333</v>
      </c>
      <c r="J122" s="6">
        <f t="shared" si="10"/>
        <v>0.12791208791208791</v>
      </c>
      <c r="K122" s="5"/>
      <c r="L122" s="5"/>
      <c r="M122" s="5"/>
    </row>
    <row r="123" spans="1:13" x14ac:dyDescent="0.3">
      <c r="A123" s="5" t="s">
        <v>334</v>
      </c>
      <c r="B123" s="5" t="s">
        <v>274</v>
      </c>
      <c r="C123" s="5">
        <v>1810</v>
      </c>
      <c r="D123" s="6">
        <v>9.6215118400000001</v>
      </c>
      <c r="E123" s="7">
        <f t="shared" si="9"/>
        <v>17414.936430400001</v>
      </c>
      <c r="F123" s="5" t="s">
        <v>335</v>
      </c>
      <c r="G123" s="5" t="s">
        <v>9</v>
      </c>
      <c r="H123" s="6">
        <v>715</v>
      </c>
      <c r="I123" s="8">
        <f>+H123/3</f>
        <v>238.33333333333334</v>
      </c>
      <c r="J123" s="6">
        <f t="shared" si="10"/>
        <v>7.5944055944055942</v>
      </c>
      <c r="K123" s="5"/>
      <c r="L123" s="18">
        <v>46063</v>
      </c>
      <c r="M123" s="5" t="s">
        <v>682</v>
      </c>
    </row>
    <row r="124" spans="1:13" x14ac:dyDescent="0.3">
      <c r="A124" s="5" t="s">
        <v>336</v>
      </c>
      <c r="B124" s="5" t="s">
        <v>274</v>
      </c>
      <c r="C124" s="5">
        <f>3700*5</f>
        <v>18500</v>
      </c>
      <c r="D124" s="6">
        <v>3.9260999999999999</v>
      </c>
      <c r="E124" s="7">
        <f t="shared" si="9"/>
        <v>72632.850000000006</v>
      </c>
      <c r="F124" s="5" t="s">
        <v>337</v>
      </c>
      <c r="G124" s="5" t="s">
        <v>9</v>
      </c>
      <c r="H124" s="6">
        <v>21833</v>
      </c>
      <c r="I124" s="8">
        <f t="shared" ref="I124:I134" si="11">+H124/6</f>
        <v>3638.8333333333335</v>
      </c>
      <c r="J124" s="6">
        <f t="shared" si="10"/>
        <v>5.0840470846883159</v>
      </c>
      <c r="K124" s="5"/>
      <c r="L124" s="5"/>
      <c r="M124" s="5"/>
    </row>
    <row r="125" spans="1:13" x14ac:dyDescent="0.3">
      <c r="A125" s="5" t="s">
        <v>338</v>
      </c>
      <c r="B125" s="5" t="s">
        <v>274</v>
      </c>
      <c r="C125" s="5">
        <v>24286</v>
      </c>
      <c r="D125" s="6">
        <v>4.1534029600000002</v>
      </c>
      <c r="E125" s="7">
        <f t="shared" si="9"/>
        <v>100869.54428656001</v>
      </c>
      <c r="F125" s="5" t="s">
        <v>339</v>
      </c>
      <c r="G125" s="5" t="s">
        <v>9</v>
      </c>
      <c r="H125" s="6">
        <v>48424</v>
      </c>
      <c r="I125" s="8">
        <f t="shared" si="11"/>
        <v>8070.666666666667</v>
      </c>
      <c r="J125" s="6">
        <f t="shared" si="10"/>
        <v>3.0091690071039152</v>
      </c>
      <c r="K125" s="5"/>
      <c r="L125" s="5"/>
      <c r="M125" s="5"/>
    </row>
    <row r="126" spans="1:13" x14ac:dyDescent="0.3">
      <c r="A126" s="5" t="s">
        <v>340</v>
      </c>
      <c r="B126" s="5" t="s">
        <v>274</v>
      </c>
      <c r="C126" s="5">
        <v>59463</v>
      </c>
      <c r="D126" s="6">
        <v>4.17</v>
      </c>
      <c r="E126" s="7">
        <f t="shared" si="9"/>
        <v>247960.71</v>
      </c>
      <c r="F126" s="5" t="s">
        <v>341</v>
      </c>
      <c r="G126" s="5" t="s">
        <v>9</v>
      </c>
      <c r="H126" s="6">
        <v>670536</v>
      </c>
      <c r="I126" s="8">
        <f t="shared" si="11"/>
        <v>111756</v>
      </c>
      <c r="J126" s="6">
        <f t="shared" si="10"/>
        <v>0.53207881456029205</v>
      </c>
      <c r="K126" s="5"/>
      <c r="L126" s="5"/>
      <c r="M126" s="5"/>
    </row>
    <row r="127" spans="1:13" x14ac:dyDescent="0.3">
      <c r="A127" s="5" t="s">
        <v>342</v>
      </c>
      <c r="B127" s="5" t="s">
        <v>274</v>
      </c>
      <c r="C127" s="5">
        <v>1592</v>
      </c>
      <c r="D127" s="6">
        <v>15.78</v>
      </c>
      <c r="E127" s="7">
        <f t="shared" si="9"/>
        <v>25121.759999999998</v>
      </c>
      <c r="F127" s="5" t="s">
        <v>343</v>
      </c>
      <c r="G127" s="5" t="s">
        <v>9</v>
      </c>
      <c r="H127" s="6">
        <v>12407</v>
      </c>
      <c r="I127" s="8">
        <f t="shared" si="11"/>
        <v>2067.8333333333335</v>
      </c>
      <c r="J127" s="6">
        <f t="shared" si="10"/>
        <v>0.76988796647054081</v>
      </c>
      <c r="K127" s="5"/>
      <c r="L127" s="5"/>
      <c r="M127" s="5"/>
    </row>
    <row r="128" spans="1:13" x14ac:dyDescent="0.3">
      <c r="A128" s="5" t="s">
        <v>349</v>
      </c>
      <c r="B128" s="5" t="s">
        <v>347</v>
      </c>
      <c r="C128" s="5">
        <v>1</v>
      </c>
      <c r="D128" s="6">
        <v>700.43</v>
      </c>
      <c r="E128" s="7">
        <f t="shared" si="9"/>
        <v>700.43</v>
      </c>
      <c r="F128" s="5" t="s">
        <v>350</v>
      </c>
      <c r="G128" s="5" t="s">
        <v>9</v>
      </c>
      <c r="H128" s="6">
        <v>1</v>
      </c>
      <c r="I128" s="8">
        <f t="shared" si="11"/>
        <v>0.16666666666666666</v>
      </c>
      <c r="J128" s="6">
        <f t="shared" si="10"/>
        <v>6</v>
      </c>
      <c r="K128" s="5"/>
      <c r="L128" s="5"/>
      <c r="M128" s="5"/>
    </row>
    <row r="129" spans="1:13" x14ac:dyDescent="0.3">
      <c r="A129" s="5" t="s">
        <v>351</v>
      </c>
      <c r="B129" s="5" t="s">
        <v>347</v>
      </c>
      <c r="C129" s="5">
        <v>1</v>
      </c>
      <c r="D129" s="6">
        <v>734.05</v>
      </c>
      <c r="E129" s="7">
        <f t="shared" si="9"/>
        <v>734.05</v>
      </c>
      <c r="F129" s="5" t="s">
        <v>352</v>
      </c>
      <c r="G129" s="5" t="s">
        <v>9</v>
      </c>
      <c r="H129" s="6">
        <v>2</v>
      </c>
      <c r="I129" s="8">
        <f t="shared" si="11"/>
        <v>0.33333333333333331</v>
      </c>
      <c r="J129" s="6">
        <f t="shared" si="10"/>
        <v>3</v>
      </c>
      <c r="K129" s="5"/>
      <c r="L129" s="5"/>
      <c r="M129" s="5"/>
    </row>
    <row r="130" spans="1:13" x14ac:dyDescent="0.3">
      <c r="A130" s="5" t="s">
        <v>355</v>
      </c>
      <c r="B130" s="5" t="s">
        <v>347</v>
      </c>
      <c r="C130" s="5">
        <v>1</v>
      </c>
      <c r="D130" s="6">
        <v>941.38</v>
      </c>
      <c r="E130" s="7">
        <f t="shared" si="9"/>
        <v>941.38</v>
      </c>
      <c r="F130" s="5" t="s">
        <v>356</v>
      </c>
      <c r="G130" s="5" t="s">
        <v>9</v>
      </c>
      <c r="H130" s="6">
        <v>2</v>
      </c>
      <c r="I130" s="8">
        <f t="shared" si="11"/>
        <v>0.33333333333333331</v>
      </c>
      <c r="J130" s="6">
        <f t="shared" si="10"/>
        <v>3</v>
      </c>
      <c r="K130" s="5"/>
      <c r="L130" s="5"/>
      <c r="M130" s="5"/>
    </row>
    <row r="131" spans="1:13" x14ac:dyDescent="0.3">
      <c r="A131" s="5" t="s">
        <v>357</v>
      </c>
      <c r="B131" s="5" t="s">
        <v>347</v>
      </c>
      <c r="C131" s="5">
        <v>1</v>
      </c>
      <c r="D131" s="6">
        <v>930.17</v>
      </c>
      <c r="E131" s="7">
        <f t="shared" si="9"/>
        <v>930.17</v>
      </c>
      <c r="F131" s="5" t="s">
        <v>358</v>
      </c>
      <c r="G131" s="5" t="s">
        <v>9</v>
      </c>
      <c r="H131" s="6">
        <v>1</v>
      </c>
      <c r="I131" s="8">
        <f t="shared" si="11"/>
        <v>0.16666666666666666</v>
      </c>
      <c r="J131" s="6">
        <f t="shared" si="10"/>
        <v>6</v>
      </c>
      <c r="K131" s="5"/>
      <c r="L131" s="5"/>
      <c r="M131" s="5"/>
    </row>
    <row r="132" spans="1:13" x14ac:dyDescent="0.3">
      <c r="A132" s="5" t="s">
        <v>359</v>
      </c>
      <c r="B132" s="5" t="s">
        <v>347</v>
      </c>
      <c r="C132" s="5">
        <v>1</v>
      </c>
      <c r="D132" s="6">
        <v>1400.86</v>
      </c>
      <c r="E132" s="7">
        <f t="shared" si="9"/>
        <v>1400.86</v>
      </c>
      <c r="F132" s="5" t="s">
        <v>360</v>
      </c>
      <c r="G132" s="5" t="s">
        <v>9</v>
      </c>
      <c r="H132" s="6">
        <v>1</v>
      </c>
      <c r="I132" s="8">
        <f t="shared" si="11"/>
        <v>0.16666666666666666</v>
      </c>
      <c r="J132" s="6">
        <f t="shared" si="10"/>
        <v>6</v>
      </c>
      <c r="K132" s="5"/>
      <c r="L132" s="5"/>
      <c r="M132" s="5"/>
    </row>
    <row r="133" spans="1:13" x14ac:dyDescent="0.3">
      <c r="A133" s="5" t="s">
        <v>361</v>
      </c>
      <c r="B133" s="5" t="s">
        <v>347</v>
      </c>
      <c r="C133" s="5">
        <v>1</v>
      </c>
      <c r="D133" s="6">
        <v>369.83</v>
      </c>
      <c r="E133" s="7">
        <f t="shared" si="9"/>
        <v>369.83</v>
      </c>
      <c r="F133" s="5" t="s">
        <v>362</v>
      </c>
      <c r="G133" s="5" t="s">
        <v>9</v>
      </c>
      <c r="H133" s="6">
        <v>5</v>
      </c>
      <c r="I133" s="8">
        <f t="shared" si="11"/>
        <v>0.83333333333333337</v>
      </c>
      <c r="J133" s="6">
        <f t="shared" si="10"/>
        <v>1.2</v>
      </c>
      <c r="K133" s="5"/>
      <c r="L133" s="5"/>
      <c r="M133" s="5"/>
    </row>
    <row r="134" spans="1:13" x14ac:dyDescent="0.3">
      <c r="A134" s="5" t="s">
        <v>365</v>
      </c>
      <c r="B134" s="5" t="s">
        <v>347</v>
      </c>
      <c r="C134" s="5">
        <v>1</v>
      </c>
      <c r="D134" s="6">
        <v>465.09</v>
      </c>
      <c r="E134" s="7">
        <f t="shared" si="9"/>
        <v>465.09</v>
      </c>
      <c r="F134" s="5" t="s">
        <v>366</v>
      </c>
      <c r="G134" s="5" t="s">
        <v>9</v>
      </c>
      <c r="H134" s="6">
        <v>5</v>
      </c>
      <c r="I134" s="8">
        <f t="shared" si="11"/>
        <v>0.83333333333333337</v>
      </c>
      <c r="J134" s="6">
        <f t="shared" si="10"/>
        <v>1.2</v>
      </c>
      <c r="K134" s="5"/>
      <c r="L134" s="5"/>
      <c r="M134" s="5"/>
    </row>
    <row r="135" spans="1:13" x14ac:dyDescent="0.3">
      <c r="A135" s="5" t="s">
        <v>367</v>
      </c>
      <c r="B135" s="5" t="s">
        <v>368</v>
      </c>
      <c r="C135" s="5">
        <v>5</v>
      </c>
      <c r="D135" s="6">
        <v>12917.434999999999</v>
      </c>
      <c r="E135" s="7">
        <f t="shared" si="9"/>
        <v>64587.174999999996</v>
      </c>
      <c r="F135" s="5" t="s">
        <v>369</v>
      </c>
      <c r="G135" s="5" t="s">
        <v>9</v>
      </c>
      <c r="H135" s="6">
        <v>5</v>
      </c>
      <c r="I135" s="8">
        <f>+H135/5</f>
        <v>1</v>
      </c>
      <c r="J135" s="6">
        <f t="shared" si="10"/>
        <v>5</v>
      </c>
      <c r="K135" s="5"/>
      <c r="L135" s="18">
        <v>45930</v>
      </c>
      <c r="M135" s="5" t="s">
        <v>673</v>
      </c>
    </row>
    <row r="136" spans="1:13" x14ac:dyDescent="0.3">
      <c r="A136" s="5" t="s">
        <v>370</v>
      </c>
      <c r="B136" s="5" t="s">
        <v>368</v>
      </c>
      <c r="C136" s="5">
        <v>16</v>
      </c>
      <c r="D136" s="6">
        <v>722.64649999999995</v>
      </c>
      <c r="E136" s="7">
        <f t="shared" si="9"/>
        <v>11562.343999999999</v>
      </c>
      <c r="F136" s="5" t="s">
        <v>371</v>
      </c>
      <c r="G136" s="5" t="s">
        <v>9</v>
      </c>
      <c r="H136" s="6">
        <v>4</v>
      </c>
      <c r="I136" s="8">
        <f>+H136/3</f>
        <v>1.3333333333333333</v>
      </c>
      <c r="J136" s="6">
        <f t="shared" si="10"/>
        <v>12</v>
      </c>
      <c r="K136" s="5"/>
      <c r="L136" s="5"/>
      <c r="M136" s="5" t="s">
        <v>673</v>
      </c>
    </row>
    <row r="137" spans="1:13" x14ac:dyDescent="0.3">
      <c r="A137" s="5" t="s">
        <v>372</v>
      </c>
      <c r="B137" s="5" t="s">
        <v>368</v>
      </c>
      <c r="C137" s="5">
        <v>5</v>
      </c>
      <c r="D137" s="6">
        <v>3609.4650000000001</v>
      </c>
      <c r="E137" s="7">
        <f t="shared" si="9"/>
        <v>18047.325000000001</v>
      </c>
      <c r="F137" s="5" t="s">
        <v>373</v>
      </c>
      <c r="G137" s="5" t="s">
        <v>9</v>
      </c>
      <c r="H137" s="6">
        <v>6</v>
      </c>
      <c r="I137" s="8">
        <f t="shared" ref="I137:I146" si="12">+H137/6</f>
        <v>1</v>
      </c>
      <c r="J137" s="6">
        <f t="shared" si="10"/>
        <v>5</v>
      </c>
      <c r="K137" s="5"/>
      <c r="L137" s="5"/>
      <c r="M137" s="5"/>
    </row>
    <row r="138" spans="1:13" x14ac:dyDescent="0.3">
      <c r="A138" s="5" t="s">
        <v>374</v>
      </c>
      <c r="B138" s="5" t="s">
        <v>368</v>
      </c>
      <c r="C138" s="5">
        <v>1</v>
      </c>
      <c r="D138" s="6">
        <v>5657.9742712099996</v>
      </c>
      <c r="E138" s="7">
        <f t="shared" si="9"/>
        <v>5657.9742712099996</v>
      </c>
      <c r="F138" s="5" t="s">
        <v>375</v>
      </c>
      <c r="G138" s="5" t="s">
        <v>9</v>
      </c>
      <c r="H138" s="6">
        <v>0</v>
      </c>
      <c r="I138" s="8">
        <f t="shared" si="12"/>
        <v>0</v>
      </c>
      <c r="J138" s="6" t="e">
        <f t="shared" si="10"/>
        <v>#DIV/0!</v>
      </c>
      <c r="K138" s="5"/>
      <c r="L138" s="5"/>
      <c r="M138" s="5"/>
    </row>
    <row r="139" spans="1:13" x14ac:dyDescent="0.3">
      <c r="A139" s="5" t="s">
        <v>376</v>
      </c>
      <c r="B139" s="5" t="s">
        <v>368</v>
      </c>
      <c r="C139" s="5">
        <v>29</v>
      </c>
      <c r="D139" s="6">
        <v>5569.2191378500002</v>
      </c>
      <c r="E139" s="7">
        <f t="shared" si="9"/>
        <v>161507.35499764999</v>
      </c>
      <c r="F139" s="5" t="s">
        <v>377</v>
      </c>
      <c r="G139" s="5" t="s">
        <v>9</v>
      </c>
      <c r="H139" s="6">
        <v>61</v>
      </c>
      <c r="I139" s="8">
        <f t="shared" si="12"/>
        <v>10.166666666666666</v>
      </c>
      <c r="J139" s="6">
        <f t="shared" si="10"/>
        <v>2.8524590163934427</v>
      </c>
      <c r="K139" s="5"/>
      <c r="L139" s="5"/>
      <c r="M139" s="5"/>
    </row>
    <row r="140" spans="1:13" x14ac:dyDescent="0.3">
      <c r="A140" s="5" t="s">
        <v>380</v>
      </c>
      <c r="B140" s="5" t="s">
        <v>368</v>
      </c>
      <c r="C140" s="5">
        <v>7</v>
      </c>
      <c r="D140" s="6">
        <v>1107</v>
      </c>
      <c r="E140" s="7">
        <f t="shared" si="9"/>
        <v>7749</v>
      </c>
      <c r="F140" s="5" t="s">
        <v>381</v>
      </c>
      <c r="G140" s="5" t="s">
        <v>9</v>
      </c>
      <c r="H140" s="6">
        <v>0</v>
      </c>
      <c r="I140" s="8">
        <f t="shared" si="12"/>
        <v>0</v>
      </c>
      <c r="J140" s="6" t="e">
        <f t="shared" si="10"/>
        <v>#DIV/0!</v>
      </c>
      <c r="K140" s="5"/>
      <c r="L140" s="5"/>
      <c r="M140" s="5" t="s">
        <v>676</v>
      </c>
    </row>
    <row r="141" spans="1:13" x14ac:dyDescent="0.3">
      <c r="A141" s="5" t="s">
        <v>382</v>
      </c>
      <c r="B141" s="5" t="s">
        <v>368</v>
      </c>
      <c r="C141" s="5">
        <v>9</v>
      </c>
      <c r="D141" s="6">
        <v>21.254999999999999</v>
      </c>
      <c r="E141" s="7">
        <f t="shared" si="9"/>
        <v>191.29499999999999</v>
      </c>
      <c r="F141" s="5" t="s">
        <v>383</v>
      </c>
      <c r="G141" s="5" t="s">
        <v>9</v>
      </c>
      <c r="H141" s="6">
        <v>0</v>
      </c>
      <c r="I141" s="8">
        <f t="shared" si="12"/>
        <v>0</v>
      </c>
      <c r="J141" s="6" t="e">
        <f t="shared" si="10"/>
        <v>#DIV/0!</v>
      </c>
      <c r="K141" s="5"/>
      <c r="L141" s="5"/>
      <c r="M141" s="5" t="s">
        <v>676</v>
      </c>
    </row>
    <row r="142" spans="1:13" x14ac:dyDescent="0.3">
      <c r="A142" s="5" t="s">
        <v>384</v>
      </c>
      <c r="B142" s="5" t="s">
        <v>368</v>
      </c>
      <c r="C142" s="5">
        <v>14</v>
      </c>
      <c r="D142" s="6">
        <v>2234.5</v>
      </c>
      <c r="E142" s="7">
        <f t="shared" si="9"/>
        <v>31283</v>
      </c>
      <c r="F142" s="5" t="s">
        <v>385</v>
      </c>
      <c r="G142" s="5" t="s">
        <v>9</v>
      </c>
      <c r="H142" s="6">
        <v>8</v>
      </c>
      <c r="I142" s="8">
        <f t="shared" si="12"/>
        <v>1.3333333333333333</v>
      </c>
      <c r="J142" s="6">
        <f t="shared" si="10"/>
        <v>10.5</v>
      </c>
      <c r="K142" s="5"/>
      <c r="L142" s="5"/>
      <c r="M142" s="5" t="s">
        <v>676</v>
      </c>
    </row>
    <row r="143" spans="1:13" x14ac:dyDescent="0.3">
      <c r="A143" s="5" t="s">
        <v>386</v>
      </c>
      <c r="B143" s="5" t="s">
        <v>368</v>
      </c>
      <c r="C143" s="5">
        <v>9</v>
      </c>
      <c r="D143" s="6">
        <v>1107</v>
      </c>
      <c r="E143" s="7">
        <f t="shared" si="9"/>
        <v>9963</v>
      </c>
      <c r="F143" s="5" t="s">
        <v>387</v>
      </c>
      <c r="G143" s="5" t="s">
        <v>9</v>
      </c>
      <c r="H143" s="6">
        <v>0</v>
      </c>
      <c r="I143" s="8">
        <f t="shared" si="12"/>
        <v>0</v>
      </c>
      <c r="J143" s="6" t="e">
        <f t="shared" si="10"/>
        <v>#DIV/0!</v>
      </c>
      <c r="K143" s="5"/>
      <c r="L143" s="5"/>
      <c r="M143" s="5" t="s">
        <v>676</v>
      </c>
    </row>
    <row r="144" spans="1:13" x14ac:dyDescent="0.3">
      <c r="A144" s="5" t="s">
        <v>388</v>
      </c>
      <c r="B144" s="5" t="s">
        <v>368</v>
      </c>
      <c r="C144" s="5">
        <v>9</v>
      </c>
      <c r="D144" s="6">
        <v>2575.0754545499999</v>
      </c>
      <c r="E144" s="7">
        <f t="shared" si="9"/>
        <v>23175.679090949998</v>
      </c>
      <c r="F144" s="5" t="s">
        <v>389</v>
      </c>
      <c r="G144" s="5" t="s">
        <v>9</v>
      </c>
      <c r="H144" s="6">
        <v>8</v>
      </c>
      <c r="I144" s="8">
        <f t="shared" si="12"/>
        <v>1.3333333333333333</v>
      </c>
      <c r="J144" s="6">
        <f t="shared" si="10"/>
        <v>6.75</v>
      </c>
      <c r="K144" s="5"/>
      <c r="L144" s="5"/>
      <c r="M144" s="5"/>
    </row>
    <row r="145" spans="1:13" x14ac:dyDescent="0.3">
      <c r="A145" s="5" t="s">
        <v>390</v>
      </c>
      <c r="B145" s="5" t="s">
        <v>368</v>
      </c>
      <c r="C145" s="5">
        <v>4</v>
      </c>
      <c r="D145" s="6">
        <v>2220.9499999999998</v>
      </c>
      <c r="E145" s="7">
        <f t="shared" si="9"/>
        <v>8883.7999999999993</v>
      </c>
      <c r="F145" s="5" t="s">
        <v>391</v>
      </c>
      <c r="G145" s="5" t="s">
        <v>9</v>
      </c>
      <c r="H145" s="6">
        <v>14</v>
      </c>
      <c r="I145" s="8">
        <f t="shared" si="12"/>
        <v>2.3333333333333335</v>
      </c>
      <c r="J145" s="6">
        <f t="shared" si="10"/>
        <v>1.7142857142857142</v>
      </c>
      <c r="K145" s="5"/>
      <c r="L145" s="5"/>
      <c r="M145" s="5"/>
    </row>
    <row r="146" spans="1:13" x14ac:dyDescent="0.3">
      <c r="A146" s="5" t="s">
        <v>392</v>
      </c>
      <c r="B146" s="5" t="s">
        <v>368</v>
      </c>
      <c r="C146" s="5">
        <v>6</v>
      </c>
      <c r="D146" s="6">
        <v>15032.712900979999</v>
      </c>
      <c r="E146" s="7">
        <f t="shared" si="9"/>
        <v>90196.277405879999</v>
      </c>
      <c r="F146" s="5" t="s">
        <v>393</v>
      </c>
      <c r="G146" s="5" t="s">
        <v>9</v>
      </c>
      <c r="H146" s="6">
        <v>6</v>
      </c>
      <c r="I146" s="8">
        <f t="shared" si="12"/>
        <v>1</v>
      </c>
      <c r="J146" s="6">
        <f t="shared" si="10"/>
        <v>6</v>
      </c>
      <c r="K146" s="5"/>
      <c r="L146" s="5"/>
      <c r="M146" s="5"/>
    </row>
    <row r="147" spans="1:13" x14ac:dyDescent="0.3">
      <c r="A147" s="5" t="s">
        <v>394</v>
      </c>
      <c r="B147" s="5" t="s">
        <v>368</v>
      </c>
      <c r="C147" s="5">
        <v>1</v>
      </c>
      <c r="D147" s="6">
        <v>16851.948799999998</v>
      </c>
      <c r="E147" s="7">
        <f t="shared" si="9"/>
        <v>16851.948799999998</v>
      </c>
      <c r="F147" s="5" t="s">
        <v>395</v>
      </c>
      <c r="G147" s="5" t="s">
        <v>9</v>
      </c>
      <c r="H147" s="6">
        <v>2</v>
      </c>
      <c r="I147" s="8">
        <f>+H147/0.1</f>
        <v>20</v>
      </c>
      <c r="J147" s="6">
        <f t="shared" si="10"/>
        <v>0.05</v>
      </c>
      <c r="K147" s="5"/>
      <c r="L147" s="5"/>
      <c r="M147" s="5"/>
    </row>
    <row r="148" spans="1:13" x14ac:dyDescent="0.3">
      <c r="A148" s="5" t="s">
        <v>396</v>
      </c>
      <c r="B148" s="5" t="s">
        <v>368</v>
      </c>
      <c r="C148" s="5">
        <v>1</v>
      </c>
      <c r="D148" s="6">
        <v>17629.731</v>
      </c>
      <c r="E148" s="7">
        <f t="shared" si="9"/>
        <v>17629.731</v>
      </c>
      <c r="F148" s="5" t="s">
        <v>397</v>
      </c>
      <c r="G148" s="5" t="s">
        <v>9</v>
      </c>
      <c r="H148" s="6">
        <v>5</v>
      </c>
      <c r="I148" s="8">
        <f>+H148/2</f>
        <v>2.5</v>
      </c>
      <c r="J148" s="6">
        <f t="shared" si="10"/>
        <v>0.4</v>
      </c>
      <c r="K148" s="5"/>
      <c r="L148" s="5"/>
      <c r="M148" s="5"/>
    </row>
    <row r="149" spans="1:13" x14ac:dyDescent="0.3">
      <c r="A149" s="5" t="s">
        <v>404</v>
      </c>
      <c r="B149" s="5" t="s">
        <v>402</v>
      </c>
      <c r="C149" s="5">
        <v>4</v>
      </c>
      <c r="D149" s="6">
        <v>143.1</v>
      </c>
      <c r="E149" s="7">
        <f t="shared" si="9"/>
        <v>572.4</v>
      </c>
      <c r="F149" s="5" t="s">
        <v>405</v>
      </c>
      <c r="G149" s="5" t="s">
        <v>9</v>
      </c>
      <c r="H149" s="6">
        <v>26</v>
      </c>
      <c r="I149" s="8">
        <f t="shared" ref="I149:I155" si="13">+H149/6</f>
        <v>4.333333333333333</v>
      </c>
      <c r="J149" s="6">
        <f t="shared" si="10"/>
        <v>0.92307692307692313</v>
      </c>
      <c r="K149" s="5"/>
      <c r="L149" s="5"/>
      <c r="M149" s="5"/>
    </row>
    <row r="150" spans="1:13" x14ac:dyDescent="0.3">
      <c r="A150" s="5" t="s">
        <v>406</v>
      </c>
      <c r="B150" s="5" t="s">
        <v>402</v>
      </c>
      <c r="C150" s="5">
        <v>5</v>
      </c>
      <c r="D150" s="6">
        <v>143.10079999999999</v>
      </c>
      <c r="E150" s="7">
        <f t="shared" si="9"/>
        <v>715.50399999999991</v>
      </c>
      <c r="F150" s="5" t="s">
        <v>407</v>
      </c>
      <c r="G150" s="5" t="s">
        <v>9</v>
      </c>
      <c r="H150" s="6">
        <v>5</v>
      </c>
      <c r="I150" s="8">
        <f t="shared" si="13"/>
        <v>0.83333333333333337</v>
      </c>
      <c r="J150" s="6">
        <f t="shared" si="10"/>
        <v>6</v>
      </c>
      <c r="K150" s="5"/>
      <c r="L150" s="5"/>
      <c r="M150" s="5"/>
    </row>
    <row r="151" spans="1:13" x14ac:dyDescent="0.3">
      <c r="A151" s="5" t="s">
        <v>408</v>
      </c>
      <c r="B151" s="5" t="s">
        <v>402</v>
      </c>
      <c r="C151" s="5">
        <v>8</v>
      </c>
      <c r="D151" s="6">
        <v>45.689599999999999</v>
      </c>
      <c r="E151" s="7">
        <f t="shared" ref="E151:E190" si="14">+C151*D151</f>
        <v>365.51679999999999</v>
      </c>
      <c r="F151" s="5" t="s">
        <v>409</v>
      </c>
      <c r="G151" s="5" t="s">
        <v>9</v>
      </c>
      <c r="H151" s="6">
        <v>11</v>
      </c>
      <c r="I151" s="8">
        <f t="shared" si="13"/>
        <v>1.8333333333333333</v>
      </c>
      <c r="J151" s="6">
        <f t="shared" ref="J151:J190" si="15">+C151/I151</f>
        <v>4.3636363636363642</v>
      </c>
      <c r="K151" s="5"/>
      <c r="L151" s="5"/>
      <c r="M151" s="5"/>
    </row>
    <row r="152" spans="1:13" x14ac:dyDescent="0.3">
      <c r="A152" s="5" t="s">
        <v>410</v>
      </c>
      <c r="B152" s="5" t="s">
        <v>402</v>
      </c>
      <c r="C152" s="5">
        <v>7</v>
      </c>
      <c r="D152" s="6">
        <v>37.930999999999997</v>
      </c>
      <c r="E152" s="7">
        <f t="shared" si="14"/>
        <v>265.517</v>
      </c>
      <c r="F152" s="5" t="s">
        <v>411</v>
      </c>
      <c r="G152" s="5" t="s">
        <v>9</v>
      </c>
      <c r="H152" s="6">
        <v>43</v>
      </c>
      <c r="I152" s="8">
        <f t="shared" si="13"/>
        <v>7.166666666666667</v>
      </c>
      <c r="J152" s="6">
        <f t="shared" si="15"/>
        <v>0.97674418604651159</v>
      </c>
      <c r="K152" s="5"/>
      <c r="L152" s="5"/>
      <c r="M152" s="5"/>
    </row>
    <row r="153" spans="1:13" x14ac:dyDescent="0.3">
      <c r="A153" s="5" t="s">
        <v>412</v>
      </c>
      <c r="B153" s="5" t="s">
        <v>402</v>
      </c>
      <c r="C153" s="5">
        <v>1</v>
      </c>
      <c r="D153" s="6">
        <v>118.54800066</v>
      </c>
      <c r="E153" s="7">
        <f t="shared" si="14"/>
        <v>118.54800066</v>
      </c>
      <c r="F153" s="5" t="s">
        <v>413</v>
      </c>
      <c r="G153" s="5" t="s">
        <v>9</v>
      </c>
      <c r="H153" s="6">
        <v>27</v>
      </c>
      <c r="I153" s="8">
        <f t="shared" si="13"/>
        <v>4.5</v>
      </c>
      <c r="J153" s="6">
        <f t="shared" si="15"/>
        <v>0.22222222222222221</v>
      </c>
      <c r="K153" s="5"/>
      <c r="L153" s="5"/>
      <c r="M153" s="5"/>
    </row>
    <row r="154" spans="1:13" x14ac:dyDescent="0.3">
      <c r="A154" s="5" t="s">
        <v>421</v>
      </c>
      <c r="B154" s="5" t="s">
        <v>415</v>
      </c>
      <c r="C154" s="5">
        <v>1</v>
      </c>
      <c r="D154" s="6">
        <v>5210.9704000000002</v>
      </c>
      <c r="E154" s="7">
        <f t="shared" si="14"/>
        <v>5210.9704000000002</v>
      </c>
      <c r="F154" s="5" t="s">
        <v>422</v>
      </c>
      <c r="G154" s="5" t="s">
        <v>9</v>
      </c>
      <c r="H154" s="6">
        <v>2</v>
      </c>
      <c r="I154" s="8">
        <f t="shared" si="13"/>
        <v>0.33333333333333331</v>
      </c>
      <c r="J154" s="6">
        <f t="shared" si="15"/>
        <v>3</v>
      </c>
      <c r="K154" s="5"/>
      <c r="L154" s="5"/>
      <c r="M154" s="5"/>
    </row>
    <row r="155" spans="1:13" x14ac:dyDescent="0.3">
      <c r="A155" s="5" t="s">
        <v>423</v>
      </c>
      <c r="B155" s="5" t="s">
        <v>415</v>
      </c>
      <c r="C155" s="5">
        <v>6</v>
      </c>
      <c r="D155" s="6">
        <v>3660.3407330099999</v>
      </c>
      <c r="E155" s="7">
        <f t="shared" si="14"/>
        <v>21962.044398059999</v>
      </c>
      <c r="F155" s="5" t="s">
        <v>424</v>
      </c>
      <c r="G155" s="5" t="s">
        <v>9</v>
      </c>
      <c r="H155" s="6">
        <v>10</v>
      </c>
      <c r="I155" s="8">
        <f t="shared" si="13"/>
        <v>1.6666666666666667</v>
      </c>
      <c r="J155" s="6">
        <f t="shared" si="15"/>
        <v>3.5999999999999996</v>
      </c>
      <c r="K155" s="5"/>
      <c r="L155" s="5"/>
      <c r="M155" s="5"/>
    </row>
    <row r="156" spans="1:13" x14ac:dyDescent="0.3">
      <c r="A156" s="5" t="s">
        <v>435</v>
      </c>
      <c r="B156" s="5" t="s">
        <v>415</v>
      </c>
      <c r="C156" s="5">
        <v>20</v>
      </c>
      <c r="D156" s="6">
        <v>1910.9139524300001</v>
      </c>
      <c r="E156" s="7">
        <f t="shared" si="14"/>
        <v>38218.279048600001</v>
      </c>
      <c r="F156" s="5" t="s">
        <v>436</v>
      </c>
      <c r="G156" s="5" t="s">
        <v>9</v>
      </c>
      <c r="H156" s="6">
        <v>28</v>
      </c>
      <c r="I156" s="8">
        <f>+H156/6</f>
        <v>4.666666666666667</v>
      </c>
      <c r="J156" s="6">
        <f t="shared" si="15"/>
        <v>4.2857142857142856</v>
      </c>
      <c r="K156" s="5"/>
      <c r="L156" s="5"/>
      <c r="M156" s="5"/>
    </row>
    <row r="157" spans="1:13" x14ac:dyDescent="0.3">
      <c r="A157" s="5" t="s">
        <v>437</v>
      </c>
      <c r="B157" s="5" t="s">
        <v>415</v>
      </c>
      <c r="C157" s="5">
        <v>23</v>
      </c>
      <c r="D157" s="6">
        <v>2238.0727004599999</v>
      </c>
      <c r="E157" s="7">
        <f t="shared" si="14"/>
        <v>51475.672110579995</v>
      </c>
      <c r="F157" s="5" t="s">
        <v>438</v>
      </c>
      <c r="G157" s="5" t="s">
        <v>9</v>
      </c>
      <c r="H157" s="6">
        <v>47</v>
      </c>
      <c r="I157" s="8">
        <f t="shared" ref="I157:I161" si="16">+H157/6</f>
        <v>7.833333333333333</v>
      </c>
      <c r="J157" s="6">
        <f t="shared" si="15"/>
        <v>2.9361702127659575</v>
      </c>
      <c r="K157" s="5"/>
      <c r="L157" s="5"/>
      <c r="M157" s="5"/>
    </row>
    <row r="158" spans="1:13" x14ac:dyDescent="0.3">
      <c r="A158" s="5" t="s">
        <v>439</v>
      </c>
      <c r="B158" s="5" t="s">
        <v>415</v>
      </c>
      <c r="C158" s="5">
        <v>6</v>
      </c>
      <c r="D158" s="6">
        <v>3641.22747166</v>
      </c>
      <c r="E158" s="7">
        <f t="shared" si="14"/>
        <v>21847.364829959999</v>
      </c>
      <c r="F158" s="5" t="s">
        <v>440</v>
      </c>
      <c r="G158" s="5" t="s">
        <v>9</v>
      </c>
      <c r="H158" s="6">
        <v>13</v>
      </c>
      <c r="I158" s="8">
        <f t="shared" si="16"/>
        <v>2.1666666666666665</v>
      </c>
      <c r="J158" s="6">
        <f t="shared" si="15"/>
        <v>2.7692307692307696</v>
      </c>
      <c r="K158" s="5"/>
      <c r="L158" s="5"/>
      <c r="M158" s="5"/>
    </row>
    <row r="159" spans="1:13" x14ac:dyDescent="0.3">
      <c r="A159" s="5" t="s">
        <v>441</v>
      </c>
      <c r="B159" s="5" t="s">
        <v>415</v>
      </c>
      <c r="C159" s="5">
        <v>18</v>
      </c>
      <c r="D159" s="6">
        <v>4238.9557214699998</v>
      </c>
      <c r="E159" s="7">
        <f t="shared" si="14"/>
        <v>76301.202986460004</v>
      </c>
      <c r="F159" s="5" t="s">
        <v>442</v>
      </c>
      <c r="G159" s="5" t="s">
        <v>9</v>
      </c>
      <c r="H159" s="6">
        <v>30</v>
      </c>
      <c r="I159" s="8">
        <f t="shared" si="16"/>
        <v>5</v>
      </c>
      <c r="J159" s="6">
        <f t="shared" si="15"/>
        <v>3.6</v>
      </c>
      <c r="K159" s="5"/>
      <c r="L159" s="5"/>
      <c r="M159" s="5"/>
    </row>
    <row r="160" spans="1:13" x14ac:dyDescent="0.3">
      <c r="A160" s="5" t="s">
        <v>443</v>
      </c>
      <c r="B160" s="5" t="s">
        <v>415</v>
      </c>
      <c r="C160" s="5">
        <v>5</v>
      </c>
      <c r="D160" s="6">
        <v>4652.4986615999997</v>
      </c>
      <c r="E160" s="7">
        <f t="shared" si="14"/>
        <v>23262.493307999997</v>
      </c>
      <c r="F160" s="5" t="s">
        <v>444</v>
      </c>
      <c r="G160" s="5" t="s">
        <v>9</v>
      </c>
      <c r="H160" s="6">
        <v>18</v>
      </c>
      <c r="I160" s="8">
        <f t="shared" si="16"/>
        <v>3</v>
      </c>
      <c r="J160" s="6">
        <f t="shared" si="15"/>
        <v>1.6666666666666667</v>
      </c>
      <c r="K160" s="5"/>
      <c r="L160" s="5"/>
      <c r="M160" s="5"/>
    </row>
    <row r="161" spans="1:20" x14ac:dyDescent="0.3">
      <c r="A161" s="5" t="s">
        <v>445</v>
      </c>
      <c r="B161" s="5" t="s">
        <v>415</v>
      </c>
      <c r="C161" s="5">
        <v>4</v>
      </c>
      <c r="D161" s="6">
        <v>5480.6867389199997</v>
      </c>
      <c r="E161" s="7">
        <f t="shared" si="14"/>
        <v>21922.746955679999</v>
      </c>
      <c r="F161" s="5" t="s">
        <v>446</v>
      </c>
      <c r="G161" s="5" t="s">
        <v>9</v>
      </c>
      <c r="H161" s="6">
        <v>4</v>
      </c>
      <c r="I161" s="8">
        <f t="shared" si="16"/>
        <v>0.66666666666666663</v>
      </c>
      <c r="J161" s="6">
        <f t="shared" si="15"/>
        <v>6</v>
      </c>
      <c r="K161" s="5"/>
      <c r="L161" s="18">
        <v>46042</v>
      </c>
      <c r="M161" s="5" t="s">
        <v>677</v>
      </c>
    </row>
    <row r="162" spans="1:20" x14ac:dyDescent="0.3">
      <c r="A162" s="5" t="s">
        <v>447</v>
      </c>
      <c r="B162" s="5" t="s">
        <v>415</v>
      </c>
      <c r="C162" s="5">
        <v>33</v>
      </c>
      <c r="D162" s="6">
        <v>5253.4136329499997</v>
      </c>
      <c r="E162" s="7">
        <f t="shared" si="14"/>
        <v>173362.64988734998</v>
      </c>
      <c r="F162" s="5" t="s">
        <v>448</v>
      </c>
      <c r="G162" s="5" t="s">
        <v>9</v>
      </c>
      <c r="H162" s="6">
        <v>73</v>
      </c>
      <c r="I162" s="8">
        <f>+H162/6</f>
        <v>12.166666666666666</v>
      </c>
      <c r="J162" s="6">
        <f t="shared" si="15"/>
        <v>2.7123287671232879</v>
      </c>
      <c r="K162" s="5"/>
      <c r="L162" s="5"/>
      <c r="M162" s="5"/>
    </row>
    <row r="163" spans="1:20" x14ac:dyDescent="0.3">
      <c r="A163" s="5" t="s">
        <v>449</v>
      </c>
      <c r="B163" s="5" t="s">
        <v>415</v>
      </c>
      <c r="C163" s="5">
        <v>7</v>
      </c>
      <c r="D163" s="6">
        <v>5810.8645962500004</v>
      </c>
      <c r="E163" s="7">
        <f t="shared" si="14"/>
        <v>40676.052173750002</v>
      </c>
      <c r="F163" s="5" t="s">
        <v>450</v>
      </c>
      <c r="G163" s="5" t="s">
        <v>9</v>
      </c>
      <c r="H163" s="6">
        <v>16</v>
      </c>
      <c r="I163" s="8">
        <f t="shared" ref="I163:I173" si="17">+H163/6</f>
        <v>2.6666666666666665</v>
      </c>
      <c r="J163" s="6">
        <f t="shared" si="15"/>
        <v>2.625</v>
      </c>
      <c r="K163" s="5"/>
      <c r="L163" s="5"/>
      <c r="M163" s="5"/>
    </row>
    <row r="164" spans="1:20" x14ac:dyDescent="0.3">
      <c r="A164" s="5" t="s">
        <v>451</v>
      </c>
      <c r="B164" s="5" t="s">
        <v>415</v>
      </c>
      <c r="C164" s="5">
        <v>103</v>
      </c>
      <c r="D164" s="6">
        <v>6245.9764071199997</v>
      </c>
      <c r="E164" s="7">
        <f t="shared" si="14"/>
        <v>643335.56993335998</v>
      </c>
      <c r="F164" s="5" t="s">
        <v>452</v>
      </c>
      <c r="G164" s="5" t="s">
        <v>9</v>
      </c>
      <c r="H164" s="6">
        <v>163</v>
      </c>
      <c r="I164" s="8">
        <f t="shared" si="17"/>
        <v>27.166666666666668</v>
      </c>
      <c r="J164" s="6">
        <f t="shared" si="15"/>
        <v>3.7914110429447851</v>
      </c>
      <c r="K164" s="5"/>
      <c r="L164" s="5"/>
      <c r="M164" s="5"/>
    </row>
    <row r="165" spans="1:20" x14ac:dyDescent="0.3">
      <c r="A165" s="5" t="s">
        <v>453</v>
      </c>
      <c r="B165" s="5" t="s">
        <v>415</v>
      </c>
      <c r="C165" s="5">
        <v>6</v>
      </c>
      <c r="D165" s="6">
        <v>13824.02250832</v>
      </c>
      <c r="E165" s="7">
        <f t="shared" si="14"/>
        <v>82944.135049920005</v>
      </c>
      <c r="F165" s="5" t="s">
        <v>454</v>
      </c>
      <c r="G165" s="5" t="s">
        <v>9</v>
      </c>
      <c r="H165" s="6">
        <v>20</v>
      </c>
      <c r="I165" s="8">
        <f t="shared" si="17"/>
        <v>3.3333333333333335</v>
      </c>
      <c r="J165" s="6">
        <f t="shared" si="15"/>
        <v>1.7999999999999998</v>
      </c>
      <c r="K165" s="5"/>
      <c r="L165" s="5"/>
      <c r="M165" s="5"/>
    </row>
    <row r="166" spans="1:20" x14ac:dyDescent="0.3">
      <c r="A166" s="5" t="s">
        <v>455</v>
      </c>
      <c r="B166" s="5" t="s">
        <v>415</v>
      </c>
      <c r="C166" s="5">
        <v>6</v>
      </c>
      <c r="D166" s="6">
        <v>12868.06297273</v>
      </c>
      <c r="E166" s="7">
        <f t="shared" si="14"/>
        <v>77208.377836380008</v>
      </c>
      <c r="F166" s="5" t="s">
        <v>456</v>
      </c>
      <c r="G166" s="5" t="s">
        <v>9</v>
      </c>
      <c r="H166" s="6">
        <v>13</v>
      </c>
      <c r="I166" s="8">
        <f t="shared" si="17"/>
        <v>2.1666666666666665</v>
      </c>
      <c r="J166" s="6">
        <f t="shared" si="15"/>
        <v>2.7692307692307696</v>
      </c>
      <c r="K166" s="5"/>
      <c r="L166" s="5"/>
      <c r="M166" s="5"/>
    </row>
    <row r="167" spans="1:20" x14ac:dyDescent="0.3">
      <c r="A167" s="5" t="s">
        <v>457</v>
      </c>
      <c r="B167" s="5" t="s">
        <v>415</v>
      </c>
      <c r="C167" s="5">
        <v>3</v>
      </c>
      <c r="D167" s="6">
        <v>24907.061799999999</v>
      </c>
      <c r="E167" s="7">
        <f t="shared" si="14"/>
        <v>74721.185400000002</v>
      </c>
      <c r="F167" s="5" t="s">
        <v>458</v>
      </c>
      <c r="G167" s="5" t="s">
        <v>9</v>
      </c>
      <c r="H167" s="6">
        <v>4</v>
      </c>
      <c r="I167" s="8">
        <f t="shared" si="17"/>
        <v>0.66666666666666663</v>
      </c>
      <c r="J167" s="6">
        <f t="shared" si="15"/>
        <v>4.5</v>
      </c>
      <c r="K167" s="5"/>
      <c r="L167" s="5"/>
      <c r="M167" s="5"/>
    </row>
    <row r="168" spans="1:20" x14ac:dyDescent="0.3">
      <c r="A168" s="5" t="s">
        <v>459</v>
      </c>
      <c r="B168" s="5" t="s">
        <v>415</v>
      </c>
      <c r="C168" s="5">
        <v>14</v>
      </c>
      <c r="D168" s="6">
        <v>21829.686399999999</v>
      </c>
      <c r="E168" s="7">
        <f t="shared" si="14"/>
        <v>305615.60959999997</v>
      </c>
      <c r="F168" s="5" t="s">
        <v>460</v>
      </c>
      <c r="G168" s="5" t="s">
        <v>9</v>
      </c>
      <c r="H168" s="6">
        <v>43</v>
      </c>
      <c r="I168" s="8">
        <f t="shared" si="17"/>
        <v>7.166666666666667</v>
      </c>
      <c r="J168" s="6">
        <f t="shared" si="15"/>
        <v>1.9534883720930232</v>
      </c>
      <c r="K168" s="5"/>
      <c r="L168" s="5"/>
      <c r="M168" s="5"/>
    </row>
    <row r="169" spans="1:20" x14ac:dyDescent="0.3">
      <c r="A169" s="5" t="s">
        <v>465</v>
      </c>
      <c r="B169" s="5" t="s">
        <v>415</v>
      </c>
      <c r="C169" s="5">
        <v>7</v>
      </c>
      <c r="D169" s="6">
        <v>985.60731121000003</v>
      </c>
      <c r="E169" s="7">
        <f t="shared" si="14"/>
        <v>6899.25117847</v>
      </c>
      <c r="F169" s="5" t="s">
        <v>466</v>
      </c>
      <c r="G169" s="5" t="s">
        <v>9</v>
      </c>
      <c r="H169" s="6">
        <v>13</v>
      </c>
      <c r="I169" s="8">
        <f t="shared" si="17"/>
        <v>2.1666666666666665</v>
      </c>
      <c r="J169" s="6">
        <f t="shared" si="15"/>
        <v>3.2307692307692308</v>
      </c>
      <c r="K169" s="5"/>
      <c r="L169" s="5"/>
      <c r="M169" s="5"/>
      <c r="O169">
        <f>105.89*17.7</f>
        <v>1874.2529999999999</v>
      </c>
      <c r="P169" s="4">
        <f>+O169-D169</f>
        <v>888.64568878999989</v>
      </c>
      <c r="Q169">
        <f>+P169/O169</f>
        <v>0.47413326204626588</v>
      </c>
      <c r="S169">
        <f>52.25*1.075</f>
        <v>56.168749999999996</v>
      </c>
      <c r="T169">
        <f>+S169*17.7</f>
        <v>994.18687499999987</v>
      </c>
    </row>
    <row r="170" spans="1:20" x14ac:dyDescent="0.3">
      <c r="A170" s="5" t="s">
        <v>472</v>
      </c>
      <c r="B170" s="5" t="s">
        <v>468</v>
      </c>
      <c r="C170" s="5">
        <v>1</v>
      </c>
      <c r="D170" s="6">
        <v>4073.506425</v>
      </c>
      <c r="E170" s="7">
        <f t="shared" si="14"/>
        <v>4073.506425</v>
      </c>
      <c r="F170" s="5" t="s">
        <v>473</v>
      </c>
      <c r="G170" s="5" t="s">
        <v>9</v>
      </c>
      <c r="H170" s="6">
        <v>4</v>
      </c>
      <c r="I170" s="8">
        <f t="shared" si="17"/>
        <v>0.66666666666666663</v>
      </c>
      <c r="J170" s="6">
        <f t="shared" si="15"/>
        <v>1.5</v>
      </c>
      <c r="K170" s="5"/>
      <c r="L170" s="5"/>
      <c r="M170" s="5"/>
    </row>
    <row r="171" spans="1:20" x14ac:dyDescent="0.3">
      <c r="A171" s="5" t="s">
        <v>481</v>
      </c>
      <c r="B171" s="5" t="s">
        <v>468</v>
      </c>
      <c r="C171" s="5">
        <f>26*5</f>
        <v>130</v>
      </c>
      <c r="D171" s="6">
        <v>625.28411282000002</v>
      </c>
      <c r="E171" s="7">
        <f t="shared" si="14"/>
        <v>81286.934666600006</v>
      </c>
      <c r="F171" s="5" t="s">
        <v>482</v>
      </c>
      <c r="G171" s="5" t="s">
        <v>9</v>
      </c>
      <c r="H171" s="6">
        <v>151</v>
      </c>
      <c r="I171" s="8">
        <f t="shared" si="17"/>
        <v>25.166666666666668</v>
      </c>
      <c r="J171" s="6">
        <f t="shared" si="15"/>
        <v>5.1655629139072845</v>
      </c>
      <c r="K171" s="5"/>
      <c r="L171" s="18">
        <v>46073</v>
      </c>
      <c r="M171" s="5" t="s">
        <v>683</v>
      </c>
    </row>
    <row r="172" spans="1:20" x14ac:dyDescent="0.3">
      <c r="A172" s="5" t="s">
        <v>487</v>
      </c>
      <c r="B172" s="5" t="s">
        <v>468</v>
      </c>
      <c r="C172" s="5">
        <v>39</v>
      </c>
      <c r="D172" s="6">
        <v>33041.128996719999</v>
      </c>
      <c r="E172" s="7">
        <f t="shared" si="14"/>
        <v>1288604.03087208</v>
      </c>
      <c r="F172" s="5" t="s">
        <v>488</v>
      </c>
      <c r="G172" s="5" t="s">
        <v>9</v>
      </c>
      <c r="H172" s="6">
        <v>91</v>
      </c>
      <c r="I172" s="8">
        <f t="shared" si="17"/>
        <v>15.166666666666666</v>
      </c>
      <c r="J172" s="6">
        <f t="shared" si="15"/>
        <v>2.5714285714285716</v>
      </c>
      <c r="K172" s="5"/>
      <c r="L172" s="5"/>
      <c r="M172" s="5"/>
    </row>
    <row r="173" spans="1:20" x14ac:dyDescent="0.3">
      <c r="A173" s="5" t="s">
        <v>489</v>
      </c>
      <c r="B173" s="5" t="s">
        <v>468</v>
      </c>
      <c r="C173" s="5">
        <v>33</v>
      </c>
      <c r="D173" s="6">
        <v>27995.91675764</v>
      </c>
      <c r="E173" s="7">
        <f t="shared" si="14"/>
        <v>923865.25300211995</v>
      </c>
      <c r="F173" s="5" t="s">
        <v>490</v>
      </c>
      <c r="G173" s="5" t="s">
        <v>9</v>
      </c>
      <c r="H173" s="6">
        <v>68</v>
      </c>
      <c r="I173" s="8">
        <f t="shared" si="17"/>
        <v>11.333333333333334</v>
      </c>
      <c r="J173" s="6">
        <f t="shared" si="15"/>
        <v>2.9117647058823528</v>
      </c>
      <c r="K173" s="5"/>
      <c r="L173" s="5"/>
      <c r="M173" s="5"/>
    </row>
    <row r="174" spans="1:20" x14ac:dyDescent="0.3">
      <c r="A174" s="5" t="s">
        <v>491</v>
      </c>
      <c r="B174" s="5" t="s">
        <v>468</v>
      </c>
      <c r="C174" s="5">
        <v>76</v>
      </c>
      <c r="D174" s="6">
        <v>6791.4435608200001</v>
      </c>
      <c r="E174" s="7">
        <f t="shared" si="14"/>
        <v>516149.71062232001</v>
      </c>
      <c r="F174" s="5" t="s">
        <v>492</v>
      </c>
      <c r="G174" s="5" t="s">
        <v>9</v>
      </c>
      <c r="H174" s="6">
        <v>142</v>
      </c>
      <c r="I174" s="8">
        <f>+H174/5</f>
        <v>28.4</v>
      </c>
      <c r="J174" s="6">
        <f t="shared" si="15"/>
        <v>2.676056338028169</v>
      </c>
      <c r="K174" s="5"/>
      <c r="L174" s="5"/>
      <c r="M174" s="5"/>
    </row>
    <row r="175" spans="1:20" x14ac:dyDescent="0.3">
      <c r="A175" s="5" t="s">
        <v>493</v>
      </c>
      <c r="B175" s="5" t="s">
        <v>468</v>
      </c>
      <c r="C175" s="5">
        <v>100</v>
      </c>
      <c r="D175" s="6">
        <v>13085.769854939999</v>
      </c>
      <c r="E175" s="7">
        <f t="shared" si="14"/>
        <v>1308576.9854939999</v>
      </c>
      <c r="F175" s="5" t="s">
        <v>494</v>
      </c>
      <c r="G175" s="5" t="s">
        <v>9</v>
      </c>
      <c r="H175" s="6">
        <v>132</v>
      </c>
      <c r="I175" s="8">
        <f t="shared" ref="I175:I186" si="18">+H175/6</f>
        <v>22</v>
      </c>
      <c r="J175" s="6">
        <f t="shared" si="15"/>
        <v>4.5454545454545459</v>
      </c>
      <c r="K175" s="5"/>
      <c r="L175" s="5"/>
      <c r="M175" s="5"/>
    </row>
    <row r="176" spans="1:20" x14ac:dyDescent="0.3">
      <c r="A176" s="5" t="s">
        <v>495</v>
      </c>
      <c r="B176" s="5" t="s">
        <v>468</v>
      </c>
      <c r="C176" s="5">
        <f>203+84</f>
        <v>287</v>
      </c>
      <c r="D176" s="6">
        <v>207.35413635</v>
      </c>
      <c r="E176" s="7">
        <f t="shared" si="14"/>
        <v>59510.63713245</v>
      </c>
      <c r="F176" s="5" t="s">
        <v>496</v>
      </c>
      <c r="G176" s="5" t="s">
        <v>9</v>
      </c>
      <c r="H176" s="6">
        <v>804</v>
      </c>
      <c r="I176" s="8">
        <f t="shared" si="18"/>
        <v>134</v>
      </c>
      <c r="J176" s="6">
        <f t="shared" si="15"/>
        <v>2.1417910447761193</v>
      </c>
      <c r="K176" s="5"/>
      <c r="L176" s="5"/>
      <c r="M176" s="5"/>
    </row>
    <row r="177" spans="1:13" x14ac:dyDescent="0.3">
      <c r="A177" s="5" t="s">
        <v>497</v>
      </c>
      <c r="B177" s="5" t="s">
        <v>468</v>
      </c>
      <c r="C177" s="5">
        <v>18</v>
      </c>
      <c r="D177" s="6">
        <v>151.46936782</v>
      </c>
      <c r="E177" s="7">
        <f t="shared" si="14"/>
        <v>2726.4486207600003</v>
      </c>
      <c r="F177" s="5" t="s">
        <v>498</v>
      </c>
      <c r="G177" s="5" t="s">
        <v>9</v>
      </c>
      <c r="H177" s="6">
        <v>63</v>
      </c>
      <c r="I177" s="8">
        <f t="shared" si="18"/>
        <v>10.5</v>
      </c>
      <c r="J177" s="6">
        <f t="shared" si="15"/>
        <v>1.7142857142857142</v>
      </c>
      <c r="K177" s="5"/>
      <c r="L177" s="5"/>
      <c r="M177" s="5"/>
    </row>
    <row r="178" spans="1:13" x14ac:dyDescent="0.3">
      <c r="A178" s="5" t="s">
        <v>499</v>
      </c>
      <c r="B178" s="5" t="s">
        <v>468</v>
      </c>
      <c r="C178" s="5">
        <v>26</v>
      </c>
      <c r="D178" s="6">
        <v>599.36630000000002</v>
      </c>
      <c r="E178" s="7">
        <f t="shared" si="14"/>
        <v>15583.523800000001</v>
      </c>
      <c r="F178" s="5" t="s">
        <v>500</v>
      </c>
      <c r="G178" s="5" t="s">
        <v>9</v>
      </c>
      <c r="H178" s="6">
        <v>94</v>
      </c>
      <c r="I178" s="8">
        <f t="shared" si="18"/>
        <v>15.666666666666666</v>
      </c>
      <c r="J178" s="6">
        <f t="shared" si="15"/>
        <v>1.6595744680851063</v>
      </c>
      <c r="K178" s="5"/>
      <c r="L178" s="5"/>
      <c r="M178" s="5"/>
    </row>
    <row r="179" spans="1:13" x14ac:dyDescent="0.3">
      <c r="A179" s="5" t="s">
        <v>465</v>
      </c>
      <c r="B179" s="5" t="s">
        <v>415</v>
      </c>
      <c r="C179" s="5">
        <f>10-7</f>
        <v>3</v>
      </c>
      <c r="D179" s="6">
        <v>985.60731121000003</v>
      </c>
      <c r="E179" s="7">
        <f t="shared" si="14"/>
        <v>2956.8219336299999</v>
      </c>
      <c r="F179" s="5" t="s">
        <v>466</v>
      </c>
      <c r="G179" s="5" t="s">
        <v>9</v>
      </c>
      <c r="H179" s="6">
        <v>13</v>
      </c>
      <c r="I179" s="8">
        <f t="shared" si="18"/>
        <v>2.1666666666666665</v>
      </c>
      <c r="J179" s="6">
        <f t="shared" si="15"/>
        <v>1.3846153846153848</v>
      </c>
      <c r="K179" s="5"/>
      <c r="L179" s="5"/>
      <c r="M179" s="5"/>
    </row>
    <row r="180" spans="1:13" x14ac:dyDescent="0.3">
      <c r="A180" s="5" t="s">
        <v>501</v>
      </c>
      <c r="B180" s="5" t="s">
        <v>468</v>
      </c>
      <c r="C180" s="5">
        <v>27</v>
      </c>
      <c r="D180" s="6">
        <v>863.43755247000001</v>
      </c>
      <c r="E180" s="7">
        <f t="shared" si="14"/>
        <v>23312.81391669</v>
      </c>
      <c r="F180" s="5" t="s">
        <v>502</v>
      </c>
      <c r="G180" s="5" t="s">
        <v>9</v>
      </c>
      <c r="H180" s="6">
        <v>71</v>
      </c>
      <c r="I180" s="8">
        <f t="shared" si="18"/>
        <v>11.833333333333334</v>
      </c>
      <c r="J180" s="6">
        <f t="shared" si="15"/>
        <v>2.2816901408450705</v>
      </c>
      <c r="K180" s="5"/>
      <c r="L180" s="5"/>
      <c r="M180" s="5"/>
    </row>
    <row r="181" spans="1:13" x14ac:dyDescent="0.3">
      <c r="A181" s="5" t="s">
        <v>505</v>
      </c>
      <c r="B181" s="5" t="s">
        <v>468</v>
      </c>
      <c r="C181" s="5">
        <v>100</v>
      </c>
      <c r="D181" s="6">
        <v>138.86015613999999</v>
      </c>
      <c r="E181" s="7">
        <f t="shared" si="14"/>
        <v>13886.015613999998</v>
      </c>
      <c r="F181" s="5" t="s">
        <v>506</v>
      </c>
      <c r="G181" s="5" t="s">
        <v>9</v>
      </c>
      <c r="H181" s="6">
        <v>92</v>
      </c>
      <c r="I181" s="8">
        <f t="shared" si="18"/>
        <v>15.333333333333334</v>
      </c>
      <c r="J181" s="6">
        <f t="shared" si="15"/>
        <v>6.5217391304347823</v>
      </c>
      <c r="K181" s="5"/>
      <c r="L181" s="5"/>
      <c r="M181" s="5"/>
    </row>
    <row r="182" spans="1:13" x14ac:dyDescent="0.3">
      <c r="A182" s="5" t="s">
        <v>507</v>
      </c>
      <c r="B182" s="5" t="s">
        <v>468</v>
      </c>
      <c r="C182" s="5">
        <v>7</v>
      </c>
      <c r="D182" s="6">
        <v>166.21701429000001</v>
      </c>
      <c r="E182" s="7">
        <f t="shared" si="14"/>
        <v>1163.5191000300001</v>
      </c>
      <c r="F182" s="5" t="s">
        <v>508</v>
      </c>
      <c r="G182" s="5" t="s">
        <v>9</v>
      </c>
      <c r="H182" s="6">
        <v>15</v>
      </c>
      <c r="I182" s="8">
        <f t="shared" si="18"/>
        <v>2.5</v>
      </c>
      <c r="J182" s="6">
        <f t="shared" si="15"/>
        <v>2.8</v>
      </c>
      <c r="K182" s="5"/>
      <c r="L182" s="5"/>
      <c r="M182" s="5"/>
    </row>
    <row r="183" spans="1:13" x14ac:dyDescent="0.3">
      <c r="A183" s="5" t="s">
        <v>509</v>
      </c>
      <c r="B183" s="5" t="s">
        <v>468</v>
      </c>
      <c r="C183" s="5">
        <v>1</v>
      </c>
      <c r="D183" s="6">
        <v>490.27100000000002</v>
      </c>
      <c r="E183" s="7">
        <f t="shared" si="14"/>
        <v>490.27100000000002</v>
      </c>
      <c r="F183" s="5" t="s">
        <v>510</v>
      </c>
      <c r="G183" s="5" t="s">
        <v>9</v>
      </c>
      <c r="H183" s="6">
        <v>4</v>
      </c>
      <c r="I183" s="8">
        <f t="shared" si="18"/>
        <v>0.66666666666666663</v>
      </c>
      <c r="J183" s="6">
        <f t="shared" si="15"/>
        <v>1.5</v>
      </c>
      <c r="K183" s="5"/>
      <c r="L183" s="5"/>
      <c r="M183" s="5"/>
    </row>
    <row r="184" spans="1:13" x14ac:dyDescent="0.3">
      <c r="A184" s="5" t="s">
        <v>511</v>
      </c>
      <c r="B184" s="5" t="s">
        <v>468</v>
      </c>
      <c r="C184" s="5">
        <v>2</v>
      </c>
      <c r="D184" s="6">
        <v>354.63626154000002</v>
      </c>
      <c r="E184" s="7">
        <f t="shared" si="14"/>
        <v>709.27252308000004</v>
      </c>
      <c r="F184" s="5" t="s">
        <v>512</v>
      </c>
      <c r="G184" s="5" t="s">
        <v>9</v>
      </c>
      <c r="H184" s="6">
        <v>13</v>
      </c>
      <c r="I184" s="8">
        <f t="shared" si="18"/>
        <v>2.1666666666666665</v>
      </c>
      <c r="J184" s="6">
        <f t="shared" si="15"/>
        <v>0.92307692307692313</v>
      </c>
      <c r="K184" s="5"/>
      <c r="L184" s="5"/>
      <c r="M184" s="5"/>
    </row>
    <row r="185" spans="1:13" x14ac:dyDescent="0.3">
      <c r="A185" s="5" t="s">
        <v>513</v>
      </c>
      <c r="B185" s="5" t="s">
        <v>468</v>
      </c>
      <c r="C185" s="5">
        <v>21</v>
      </c>
      <c r="D185" s="6">
        <v>181.92685986000001</v>
      </c>
      <c r="E185" s="7">
        <f t="shared" si="14"/>
        <v>3820.46405706</v>
      </c>
      <c r="F185" s="5" t="s">
        <v>514</v>
      </c>
      <c r="G185" s="5" t="s">
        <v>9</v>
      </c>
      <c r="H185" s="6">
        <v>158</v>
      </c>
      <c r="I185" s="8">
        <f t="shared" si="18"/>
        <v>26.333333333333332</v>
      </c>
      <c r="J185" s="6">
        <f t="shared" si="15"/>
        <v>0.79746835443037978</v>
      </c>
      <c r="K185" s="5"/>
      <c r="L185" s="5"/>
      <c r="M185" s="5"/>
    </row>
    <row r="186" spans="1:13" x14ac:dyDescent="0.3">
      <c r="A186" s="5" t="s">
        <v>515</v>
      </c>
      <c r="B186" s="5" t="s">
        <v>468</v>
      </c>
      <c r="C186" s="5">
        <v>24</v>
      </c>
      <c r="D186" s="6">
        <v>183.21089565</v>
      </c>
      <c r="E186" s="7">
        <f t="shared" si="14"/>
        <v>4397.0614955999999</v>
      </c>
      <c r="F186" s="5" t="s">
        <v>516</v>
      </c>
      <c r="G186" s="5" t="s">
        <v>9</v>
      </c>
      <c r="H186" s="6">
        <v>39</v>
      </c>
      <c r="I186" s="8">
        <f t="shared" si="18"/>
        <v>6.5</v>
      </c>
      <c r="J186" s="6">
        <f t="shared" si="15"/>
        <v>3.6923076923076925</v>
      </c>
      <c r="K186" s="5"/>
      <c r="L186" s="5"/>
      <c r="M186" s="5"/>
    </row>
    <row r="187" spans="1:13" x14ac:dyDescent="0.3">
      <c r="A187" s="5" t="s">
        <v>517</v>
      </c>
      <c r="B187" s="5" t="s">
        <v>468</v>
      </c>
      <c r="C187" s="5">
        <v>70</v>
      </c>
      <c r="D187" s="6">
        <v>172.46196825000001</v>
      </c>
      <c r="E187" s="7">
        <f t="shared" si="14"/>
        <v>12072.337777500001</v>
      </c>
      <c r="F187" s="5" t="s">
        <v>514</v>
      </c>
      <c r="G187" s="5" t="s">
        <v>9</v>
      </c>
      <c r="H187" s="6">
        <v>114</v>
      </c>
      <c r="I187" s="8">
        <f>+H187/3.66</f>
        <v>31.147540983606557</v>
      </c>
      <c r="J187" s="6">
        <f t="shared" si="15"/>
        <v>2.2473684210526317</v>
      </c>
      <c r="K187" s="5"/>
      <c r="L187" s="5"/>
      <c r="M187" s="5"/>
    </row>
    <row r="188" spans="1:13" x14ac:dyDescent="0.3">
      <c r="A188" s="5" t="s">
        <v>518</v>
      </c>
      <c r="B188" s="5" t="s">
        <v>468</v>
      </c>
      <c r="C188" s="5">
        <v>10</v>
      </c>
      <c r="D188" s="6">
        <v>183.66685042</v>
      </c>
      <c r="E188" s="7">
        <f t="shared" si="14"/>
        <v>1836.6685041999999</v>
      </c>
      <c r="F188" s="5" t="s">
        <v>519</v>
      </c>
      <c r="G188" s="5" t="s">
        <v>9</v>
      </c>
      <c r="H188" s="6">
        <v>22</v>
      </c>
      <c r="I188" s="8">
        <f>+H188/6</f>
        <v>3.6666666666666665</v>
      </c>
      <c r="J188" s="6">
        <f t="shared" si="15"/>
        <v>2.7272727272727275</v>
      </c>
      <c r="K188" s="5"/>
      <c r="L188" s="5"/>
      <c r="M188" s="5"/>
    </row>
    <row r="189" spans="1:13" x14ac:dyDescent="0.3">
      <c r="A189" s="5" t="s">
        <v>520</v>
      </c>
      <c r="B189" s="5" t="s">
        <v>468</v>
      </c>
      <c r="C189" s="5">
        <v>5</v>
      </c>
      <c r="D189" s="6">
        <v>188.67199343999999</v>
      </c>
      <c r="E189" s="7">
        <f t="shared" si="14"/>
        <v>943.35996720000003</v>
      </c>
      <c r="F189" s="5" t="s">
        <v>521</v>
      </c>
      <c r="G189" s="5" t="s">
        <v>9</v>
      </c>
      <c r="H189" s="6">
        <v>5</v>
      </c>
      <c r="I189" s="8">
        <f>+H189/6</f>
        <v>0.83333333333333337</v>
      </c>
      <c r="J189" s="6">
        <f t="shared" si="15"/>
        <v>6</v>
      </c>
      <c r="K189" s="5"/>
      <c r="L189" s="18">
        <v>45940</v>
      </c>
      <c r="M189" s="5" t="s">
        <v>678</v>
      </c>
    </row>
    <row r="190" spans="1:13" x14ac:dyDescent="0.3">
      <c r="A190" s="5" t="s">
        <v>522</v>
      </c>
      <c r="B190" s="5" t="s">
        <v>468</v>
      </c>
      <c r="C190" s="5">
        <v>6</v>
      </c>
      <c r="D190" s="6">
        <v>190.42560803000001</v>
      </c>
      <c r="E190" s="7">
        <f t="shared" si="14"/>
        <v>1142.55364818</v>
      </c>
      <c r="F190" s="5" t="s">
        <v>523</v>
      </c>
      <c r="G190" s="5" t="s">
        <v>9</v>
      </c>
      <c r="H190" s="6">
        <v>3</v>
      </c>
      <c r="I190" s="8">
        <f>+H190/2.6</f>
        <v>1.1538461538461537</v>
      </c>
      <c r="J190" s="6">
        <f t="shared" si="15"/>
        <v>5.2</v>
      </c>
      <c r="K190" s="5"/>
      <c r="L190" s="5"/>
      <c r="M190" s="5"/>
    </row>
    <row r="191" spans="1:13" x14ac:dyDescent="0.3">
      <c r="A191" s="5" t="s">
        <v>530</v>
      </c>
      <c r="B191" s="5" t="s">
        <v>468</v>
      </c>
      <c r="C191" s="5">
        <v>5</v>
      </c>
      <c r="D191" s="6">
        <v>572.22743889000003</v>
      </c>
      <c r="E191" s="7">
        <f t="shared" ref="E191:E231" si="19">+C191*D191</f>
        <v>2861.1371944500002</v>
      </c>
      <c r="F191" s="5" t="s">
        <v>531</v>
      </c>
      <c r="G191" s="5" t="s">
        <v>9</v>
      </c>
      <c r="H191" s="6">
        <v>7</v>
      </c>
      <c r="I191" s="8">
        <f t="shared" ref="I191:I195" si="20">+H191/6</f>
        <v>1.1666666666666667</v>
      </c>
      <c r="J191" s="6">
        <f t="shared" ref="J191:J231" si="21">+C191/I191</f>
        <v>4.2857142857142856</v>
      </c>
      <c r="K191" s="5"/>
      <c r="L191" s="18">
        <v>45999</v>
      </c>
      <c r="M191" s="5" t="s">
        <v>679</v>
      </c>
    </row>
    <row r="192" spans="1:13" x14ac:dyDescent="0.3">
      <c r="A192" s="5" t="s">
        <v>536</v>
      </c>
      <c r="B192" s="5" t="s">
        <v>468</v>
      </c>
      <c r="C192" s="5">
        <v>84</v>
      </c>
      <c r="D192" s="6">
        <v>2574.6470109000002</v>
      </c>
      <c r="E192" s="7">
        <f t="shared" si="19"/>
        <v>216270.34891560001</v>
      </c>
      <c r="F192" s="5" t="s">
        <v>537</v>
      </c>
      <c r="G192" s="5" t="s">
        <v>9</v>
      </c>
      <c r="H192" s="6">
        <v>114</v>
      </c>
      <c r="I192" s="8">
        <f t="shared" si="20"/>
        <v>19</v>
      </c>
      <c r="J192" s="6">
        <f t="shared" si="21"/>
        <v>4.4210526315789478</v>
      </c>
      <c r="K192" s="5"/>
      <c r="L192" s="5"/>
      <c r="M192" s="5"/>
    </row>
    <row r="193" spans="1:13" x14ac:dyDescent="0.3">
      <c r="A193" s="5" t="s">
        <v>538</v>
      </c>
      <c r="B193" s="5" t="s">
        <v>468</v>
      </c>
      <c r="C193" s="5">
        <v>18</v>
      </c>
      <c r="D193" s="6">
        <v>2269.7493445499999</v>
      </c>
      <c r="E193" s="7">
        <f t="shared" si="19"/>
        <v>40855.4882019</v>
      </c>
      <c r="F193" s="5" t="s">
        <v>539</v>
      </c>
      <c r="G193" s="5" t="s">
        <v>9</v>
      </c>
      <c r="H193" s="6">
        <v>27</v>
      </c>
      <c r="I193" s="8">
        <f t="shared" si="20"/>
        <v>4.5</v>
      </c>
      <c r="J193" s="6">
        <f t="shared" si="21"/>
        <v>4</v>
      </c>
      <c r="K193" s="5"/>
      <c r="L193" s="5"/>
      <c r="M193" s="5"/>
    </row>
    <row r="194" spans="1:13" x14ac:dyDescent="0.3">
      <c r="A194" s="5" t="s">
        <v>540</v>
      </c>
      <c r="B194" s="5" t="s">
        <v>468</v>
      </c>
      <c r="C194" s="5">
        <v>9</v>
      </c>
      <c r="D194" s="6">
        <v>181.90747826</v>
      </c>
      <c r="E194" s="7">
        <f t="shared" si="19"/>
        <v>1637.1673043400001</v>
      </c>
      <c r="F194" s="5" t="s">
        <v>541</v>
      </c>
      <c r="G194" s="5" t="s">
        <v>9</v>
      </c>
      <c r="H194" s="6">
        <v>5</v>
      </c>
      <c r="I194" s="8">
        <f t="shared" si="20"/>
        <v>0.83333333333333337</v>
      </c>
      <c r="J194" s="6">
        <f t="shared" si="21"/>
        <v>10.799999999999999</v>
      </c>
      <c r="K194" s="5"/>
      <c r="L194" s="18">
        <v>46042</v>
      </c>
      <c r="M194" s="5" t="s">
        <v>679</v>
      </c>
    </row>
    <row r="195" spans="1:13" x14ac:dyDescent="0.3">
      <c r="A195" s="5" t="s">
        <v>542</v>
      </c>
      <c r="B195" s="5" t="s">
        <v>468</v>
      </c>
      <c r="C195" s="5">
        <v>80</v>
      </c>
      <c r="D195" s="6">
        <v>5787.1090753899998</v>
      </c>
      <c r="E195" s="7">
        <f t="shared" si="19"/>
        <v>462968.72603119997</v>
      </c>
      <c r="F195" s="5" t="s">
        <v>543</v>
      </c>
      <c r="G195" s="5" t="s">
        <v>9</v>
      </c>
      <c r="H195" s="6">
        <v>208</v>
      </c>
      <c r="I195" s="8">
        <f t="shared" si="20"/>
        <v>34.666666666666664</v>
      </c>
      <c r="J195" s="6">
        <f t="shared" si="21"/>
        <v>2.3076923076923079</v>
      </c>
      <c r="K195" s="5"/>
      <c r="L195" s="5"/>
      <c r="M195" s="5"/>
    </row>
    <row r="196" spans="1:13" x14ac:dyDescent="0.3">
      <c r="A196" s="5" t="s">
        <v>544</v>
      </c>
      <c r="B196" s="5" t="s">
        <v>468</v>
      </c>
      <c r="C196" s="5">
        <v>13</v>
      </c>
      <c r="D196" s="6">
        <v>206.38249999999999</v>
      </c>
      <c r="E196" s="7">
        <f t="shared" si="19"/>
        <v>2682.9724999999999</v>
      </c>
      <c r="F196" s="5" t="s">
        <v>545</v>
      </c>
      <c r="G196" s="5" t="s">
        <v>9</v>
      </c>
      <c r="H196" s="6">
        <v>7</v>
      </c>
      <c r="I196" s="8">
        <f>+H196/1</f>
        <v>7</v>
      </c>
      <c r="J196" s="6">
        <f t="shared" si="21"/>
        <v>1.8571428571428572</v>
      </c>
      <c r="K196" s="5"/>
      <c r="L196" s="18">
        <v>46042</v>
      </c>
      <c r="M196" s="5" t="s">
        <v>673</v>
      </c>
    </row>
    <row r="197" spans="1:13" x14ac:dyDescent="0.3">
      <c r="A197" s="5" t="s">
        <v>550</v>
      </c>
      <c r="B197" s="5" t="s">
        <v>468</v>
      </c>
      <c r="C197" s="5">
        <v>87</v>
      </c>
      <c r="D197" s="6">
        <v>7179.7212635300002</v>
      </c>
      <c r="E197" s="7">
        <f t="shared" si="19"/>
        <v>624635.74992711004</v>
      </c>
      <c r="F197" s="5" t="s">
        <v>551</v>
      </c>
      <c r="G197" s="5" t="s">
        <v>9</v>
      </c>
      <c r="H197" s="6">
        <v>160</v>
      </c>
      <c r="I197" s="8">
        <f t="shared" ref="I197:I241" si="22">+H197/6</f>
        <v>26.666666666666668</v>
      </c>
      <c r="J197" s="6">
        <f t="shared" si="21"/>
        <v>3.2624999999999997</v>
      </c>
      <c r="K197" s="5"/>
      <c r="L197" s="5"/>
      <c r="M197" s="5"/>
    </row>
    <row r="198" spans="1:13" x14ac:dyDescent="0.3">
      <c r="A198" s="5" t="s">
        <v>552</v>
      </c>
      <c r="B198" s="5" t="s">
        <v>468</v>
      </c>
      <c r="C198" s="5">
        <v>86</v>
      </c>
      <c r="D198" s="6">
        <v>11072.737124679999</v>
      </c>
      <c r="E198" s="7">
        <f t="shared" si="19"/>
        <v>952255.39272248</v>
      </c>
      <c r="F198" s="5" t="s">
        <v>553</v>
      </c>
      <c r="G198" s="5" t="s">
        <v>9</v>
      </c>
      <c r="H198" s="6">
        <v>312</v>
      </c>
      <c r="I198" s="8">
        <f t="shared" si="22"/>
        <v>52</v>
      </c>
      <c r="J198" s="6">
        <f t="shared" si="21"/>
        <v>1.6538461538461537</v>
      </c>
      <c r="K198" s="5"/>
      <c r="L198" s="5"/>
      <c r="M198" s="5"/>
    </row>
    <row r="199" spans="1:13" x14ac:dyDescent="0.3">
      <c r="A199" s="5" t="s">
        <v>554</v>
      </c>
      <c r="B199" s="5" t="s">
        <v>468</v>
      </c>
      <c r="C199" s="5">
        <v>2</v>
      </c>
      <c r="D199" s="6">
        <v>35787.905287920003</v>
      </c>
      <c r="E199" s="7">
        <f t="shared" si="19"/>
        <v>71575.810575840005</v>
      </c>
      <c r="F199" s="5" t="s">
        <v>555</v>
      </c>
      <c r="G199" s="5" t="s">
        <v>9</v>
      </c>
      <c r="H199" s="6">
        <v>0</v>
      </c>
      <c r="I199" s="8">
        <f t="shared" si="22"/>
        <v>0</v>
      </c>
      <c r="J199" s="6" t="e">
        <f t="shared" si="21"/>
        <v>#DIV/0!</v>
      </c>
      <c r="K199" s="5"/>
      <c r="L199" s="5"/>
      <c r="M199" s="5" t="s">
        <v>556</v>
      </c>
    </row>
    <row r="200" spans="1:13" x14ac:dyDescent="0.3">
      <c r="A200" s="5" t="s">
        <v>556</v>
      </c>
      <c r="B200" s="5" t="s">
        <v>468</v>
      </c>
      <c r="C200" s="5">
        <v>35</v>
      </c>
      <c r="D200" s="6">
        <v>31522.976795850002</v>
      </c>
      <c r="E200" s="7">
        <f t="shared" si="19"/>
        <v>1103304.1878547501</v>
      </c>
      <c r="F200" s="5" t="s">
        <v>557</v>
      </c>
      <c r="G200" s="5" t="s">
        <v>9</v>
      </c>
      <c r="H200" s="6">
        <v>63</v>
      </c>
      <c r="I200" s="8">
        <f t="shared" si="22"/>
        <v>10.5</v>
      </c>
      <c r="J200" s="6">
        <f t="shared" si="21"/>
        <v>3.3333333333333335</v>
      </c>
      <c r="K200" s="5"/>
      <c r="L200" s="5"/>
      <c r="M200" s="5"/>
    </row>
    <row r="201" spans="1:13" x14ac:dyDescent="0.3">
      <c r="A201" s="5" t="s">
        <v>558</v>
      </c>
      <c r="B201" s="5" t="s">
        <v>468</v>
      </c>
      <c r="C201" s="5">
        <v>3</v>
      </c>
      <c r="D201" s="6">
        <v>26441.467199999999</v>
      </c>
      <c r="E201" s="7">
        <f t="shared" si="19"/>
        <v>79324.401599999997</v>
      </c>
      <c r="F201" s="5" t="s">
        <v>559</v>
      </c>
      <c r="G201" s="5" t="s">
        <v>9</v>
      </c>
      <c r="H201" s="6">
        <v>30</v>
      </c>
      <c r="I201" s="8">
        <f t="shared" si="22"/>
        <v>5</v>
      </c>
      <c r="J201" s="6">
        <f t="shared" si="21"/>
        <v>0.6</v>
      </c>
      <c r="K201" s="5"/>
      <c r="L201" s="5"/>
      <c r="M201" s="5"/>
    </row>
    <row r="202" spans="1:13" x14ac:dyDescent="0.3">
      <c r="A202" s="5" t="s">
        <v>560</v>
      </c>
      <c r="B202" s="5" t="s">
        <v>468</v>
      </c>
      <c r="C202" s="5">
        <v>11</v>
      </c>
      <c r="D202" s="6">
        <v>16639.85061234</v>
      </c>
      <c r="E202" s="7">
        <f t="shared" si="19"/>
        <v>183038.35673574</v>
      </c>
      <c r="F202" s="5" t="s">
        <v>561</v>
      </c>
      <c r="G202" s="5" t="s">
        <v>9</v>
      </c>
      <c r="H202" s="6">
        <v>43</v>
      </c>
      <c r="I202" s="8">
        <f t="shared" si="22"/>
        <v>7.166666666666667</v>
      </c>
      <c r="J202" s="6">
        <f t="shared" si="21"/>
        <v>1.5348837209302324</v>
      </c>
      <c r="K202" s="5"/>
      <c r="L202" s="5"/>
      <c r="M202" s="5"/>
    </row>
    <row r="203" spans="1:13" x14ac:dyDescent="0.3">
      <c r="A203" s="5" t="s">
        <v>564</v>
      </c>
      <c r="B203" s="5" t="s">
        <v>565</v>
      </c>
      <c r="C203" s="5">
        <f>105*5</f>
        <v>525</v>
      </c>
      <c r="D203" s="6">
        <v>257.69284150999999</v>
      </c>
      <c r="E203" s="7">
        <f t="shared" si="19"/>
        <v>135288.74179274999</v>
      </c>
      <c r="F203" s="5" t="s">
        <v>566</v>
      </c>
      <c r="G203" s="5" t="s">
        <v>9</v>
      </c>
      <c r="H203" s="6">
        <v>624</v>
      </c>
      <c r="I203" s="8">
        <f t="shared" si="22"/>
        <v>104</v>
      </c>
      <c r="J203" s="6">
        <f t="shared" si="21"/>
        <v>5.0480769230769234</v>
      </c>
      <c r="K203" s="5"/>
      <c r="L203" s="18">
        <v>45937</v>
      </c>
      <c r="M203" s="5" t="s">
        <v>684</v>
      </c>
    </row>
    <row r="204" spans="1:13" x14ac:dyDescent="0.3">
      <c r="A204" s="5" t="s">
        <v>567</v>
      </c>
      <c r="B204" s="5" t="s">
        <v>565</v>
      </c>
      <c r="C204" s="5">
        <v>702</v>
      </c>
      <c r="D204" s="6">
        <v>329.82556926000001</v>
      </c>
      <c r="E204" s="7">
        <f t="shared" si="19"/>
        <v>231537.54962052</v>
      </c>
      <c r="F204" s="5" t="s">
        <v>568</v>
      </c>
      <c r="G204" s="5" t="s">
        <v>9</v>
      </c>
      <c r="H204" s="6">
        <v>842</v>
      </c>
      <c r="I204" s="8">
        <f t="shared" si="22"/>
        <v>140.33333333333334</v>
      </c>
      <c r="J204" s="6">
        <f t="shared" si="21"/>
        <v>5.0023752969121134</v>
      </c>
      <c r="K204" s="5"/>
      <c r="L204" s="5"/>
      <c r="M204" s="5"/>
    </row>
    <row r="205" spans="1:13" x14ac:dyDescent="0.3">
      <c r="A205" s="5" t="s">
        <v>569</v>
      </c>
      <c r="B205" s="5" t="s">
        <v>565</v>
      </c>
      <c r="C205" s="5">
        <v>99</v>
      </c>
      <c r="D205" s="6">
        <v>385.16511221000002</v>
      </c>
      <c r="E205" s="7">
        <f t="shared" si="19"/>
        <v>38131.34610879</v>
      </c>
      <c r="F205" s="5" t="s">
        <v>570</v>
      </c>
      <c r="G205" s="5" t="s">
        <v>9</v>
      </c>
      <c r="H205" s="6">
        <v>258</v>
      </c>
      <c r="I205" s="8">
        <f t="shared" si="22"/>
        <v>43</v>
      </c>
      <c r="J205" s="6">
        <f t="shared" si="21"/>
        <v>2.3023255813953489</v>
      </c>
      <c r="K205" s="5"/>
      <c r="L205" s="5"/>
      <c r="M205" s="5"/>
    </row>
    <row r="206" spans="1:13" x14ac:dyDescent="0.3">
      <c r="A206" s="5" t="s">
        <v>571</v>
      </c>
      <c r="B206" s="5" t="s">
        <v>565</v>
      </c>
      <c r="C206" s="5">
        <v>50</v>
      </c>
      <c r="D206" s="6">
        <v>130.91882817000001</v>
      </c>
      <c r="E206" s="7">
        <f t="shared" si="19"/>
        <v>6545.9414085000008</v>
      </c>
      <c r="F206" s="5" t="s">
        <v>572</v>
      </c>
      <c r="G206" s="5" t="s">
        <v>9</v>
      </c>
      <c r="H206" s="6">
        <v>53</v>
      </c>
      <c r="I206" s="8">
        <f t="shared" si="22"/>
        <v>8.8333333333333339</v>
      </c>
      <c r="J206" s="6">
        <f t="shared" si="21"/>
        <v>5.6603773584905657</v>
      </c>
      <c r="K206" s="5"/>
      <c r="L206" s="5"/>
      <c r="M206" s="5"/>
    </row>
    <row r="207" spans="1:13" x14ac:dyDescent="0.3">
      <c r="A207" s="5" t="s">
        <v>573</v>
      </c>
      <c r="B207" s="5" t="s">
        <v>565</v>
      </c>
      <c r="C207" s="5">
        <v>2</v>
      </c>
      <c r="D207" s="6">
        <v>108.0859</v>
      </c>
      <c r="E207" s="7">
        <f t="shared" si="19"/>
        <v>216.17179999999999</v>
      </c>
      <c r="F207" s="5" t="s">
        <v>574</v>
      </c>
      <c r="G207" s="5" t="s">
        <v>9</v>
      </c>
      <c r="H207" s="6">
        <v>33</v>
      </c>
      <c r="I207" s="8">
        <f t="shared" si="22"/>
        <v>5.5</v>
      </c>
      <c r="J207" s="6">
        <f t="shared" si="21"/>
        <v>0.36363636363636365</v>
      </c>
      <c r="K207" s="5"/>
      <c r="L207" s="5"/>
      <c r="M207" s="5"/>
    </row>
    <row r="208" spans="1:13" x14ac:dyDescent="0.3">
      <c r="A208" s="5" t="s">
        <v>575</v>
      </c>
      <c r="B208" s="5" t="s">
        <v>565</v>
      </c>
      <c r="C208" s="5">
        <f>130*5</f>
        <v>650</v>
      </c>
      <c r="D208" s="6">
        <v>105.79868897999999</v>
      </c>
      <c r="E208" s="7">
        <f t="shared" si="19"/>
        <v>68769.147836999997</v>
      </c>
      <c r="F208" s="5" t="s">
        <v>576</v>
      </c>
      <c r="G208" s="5" t="s">
        <v>9</v>
      </c>
      <c r="H208" s="6">
        <v>733</v>
      </c>
      <c r="I208" s="8">
        <f t="shared" si="22"/>
        <v>122.16666666666667</v>
      </c>
      <c r="J208" s="6">
        <f t="shared" si="21"/>
        <v>5.320600272851296</v>
      </c>
      <c r="K208" s="5"/>
      <c r="L208" s="5"/>
      <c r="M208" s="5"/>
    </row>
    <row r="209" spans="1:13" x14ac:dyDescent="0.3">
      <c r="A209" s="5" t="s">
        <v>577</v>
      </c>
      <c r="B209" s="5" t="s">
        <v>565</v>
      </c>
      <c r="C209" s="5">
        <f>290*5</f>
        <v>1450</v>
      </c>
      <c r="D209" s="6">
        <v>127.57777302</v>
      </c>
      <c r="E209" s="7">
        <f t="shared" si="19"/>
        <v>184987.77087899999</v>
      </c>
      <c r="F209" s="5" t="s">
        <v>578</v>
      </c>
      <c r="G209" s="5" t="s">
        <v>9</v>
      </c>
      <c r="H209" s="6">
        <v>1690</v>
      </c>
      <c r="I209" s="8">
        <f t="shared" si="22"/>
        <v>281.66666666666669</v>
      </c>
      <c r="J209" s="6">
        <f t="shared" si="21"/>
        <v>5.1479289940828403</v>
      </c>
      <c r="K209" s="5"/>
      <c r="L209" s="5"/>
      <c r="M209" s="5"/>
    </row>
    <row r="210" spans="1:13" x14ac:dyDescent="0.3">
      <c r="A210" s="5" t="s">
        <v>579</v>
      </c>
      <c r="B210" s="5" t="s">
        <v>565</v>
      </c>
      <c r="C210" s="5">
        <v>1067</v>
      </c>
      <c r="D210" s="6">
        <v>164.83612597999999</v>
      </c>
      <c r="E210" s="7">
        <f t="shared" si="19"/>
        <v>175880.14642065999</v>
      </c>
      <c r="F210" s="5" t="s">
        <v>580</v>
      </c>
      <c r="G210" s="5" t="s">
        <v>9</v>
      </c>
      <c r="H210" s="6">
        <v>956</v>
      </c>
      <c r="I210" s="8">
        <f t="shared" si="22"/>
        <v>159.33333333333334</v>
      </c>
      <c r="J210" s="6">
        <f t="shared" si="21"/>
        <v>6.6966527196652716</v>
      </c>
      <c r="K210" s="5"/>
      <c r="L210" s="5"/>
      <c r="M210" s="5"/>
    </row>
    <row r="211" spans="1:13" x14ac:dyDescent="0.3">
      <c r="A211" s="5" t="s">
        <v>581</v>
      </c>
      <c r="B211" s="5" t="s">
        <v>565</v>
      </c>
      <c r="C211" s="5">
        <f>315*5</f>
        <v>1575</v>
      </c>
      <c r="D211" s="6">
        <v>41.332047260000003</v>
      </c>
      <c r="E211" s="7">
        <f t="shared" si="19"/>
        <v>65097.974434500007</v>
      </c>
      <c r="F211" s="5" t="s">
        <v>582</v>
      </c>
      <c r="G211" s="5" t="s">
        <v>9</v>
      </c>
      <c r="H211" s="6">
        <v>1867</v>
      </c>
      <c r="I211" s="8">
        <f t="shared" si="22"/>
        <v>311.16666666666669</v>
      </c>
      <c r="J211" s="6">
        <f t="shared" si="21"/>
        <v>5.0615961435457955</v>
      </c>
      <c r="K211" s="5"/>
      <c r="L211" s="5"/>
      <c r="M211" s="5"/>
    </row>
    <row r="212" spans="1:13" x14ac:dyDescent="0.3">
      <c r="A212" s="5" t="s">
        <v>583</v>
      </c>
      <c r="B212" s="5" t="s">
        <v>565</v>
      </c>
      <c r="C212" s="5">
        <v>10</v>
      </c>
      <c r="D212" s="6">
        <v>52.852317239999998</v>
      </c>
      <c r="E212" s="7">
        <f t="shared" si="19"/>
        <v>528.52317240000002</v>
      </c>
      <c r="F212" s="5" t="s">
        <v>584</v>
      </c>
      <c r="G212" s="5" t="s">
        <v>9</v>
      </c>
      <c r="H212" s="6">
        <v>12</v>
      </c>
      <c r="I212" s="8">
        <f t="shared" si="22"/>
        <v>2</v>
      </c>
      <c r="J212" s="6">
        <f t="shared" si="21"/>
        <v>5</v>
      </c>
      <c r="K212" s="5"/>
      <c r="L212" s="5"/>
      <c r="M212" s="5"/>
    </row>
    <row r="213" spans="1:13" x14ac:dyDescent="0.3">
      <c r="A213" s="5" t="s">
        <v>585</v>
      </c>
      <c r="B213" s="5" t="s">
        <v>565</v>
      </c>
      <c r="C213" s="5">
        <v>3</v>
      </c>
      <c r="D213" s="6">
        <v>122.91412327</v>
      </c>
      <c r="E213" s="7">
        <f t="shared" si="19"/>
        <v>368.74236981000001</v>
      </c>
      <c r="F213" s="5" t="s">
        <v>586</v>
      </c>
      <c r="G213" s="5" t="s">
        <v>9</v>
      </c>
      <c r="H213" s="6">
        <v>44</v>
      </c>
      <c r="I213" s="8">
        <f t="shared" si="22"/>
        <v>7.333333333333333</v>
      </c>
      <c r="J213" s="6">
        <f t="shared" si="21"/>
        <v>0.40909090909090912</v>
      </c>
      <c r="K213" s="5"/>
      <c r="L213" s="5"/>
      <c r="M213" s="5"/>
    </row>
    <row r="214" spans="1:13" x14ac:dyDescent="0.3">
      <c r="A214" s="5" t="s">
        <v>587</v>
      </c>
      <c r="B214" s="5" t="s">
        <v>565</v>
      </c>
      <c r="C214" s="5">
        <v>723</v>
      </c>
      <c r="D214" s="6">
        <v>54.25240668</v>
      </c>
      <c r="E214" s="7">
        <f t="shared" si="19"/>
        <v>39224.490029640001</v>
      </c>
      <c r="F214" s="5" t="s">
        <v>588</v>
      </c>
      <c r="G214" s="5" t="s">
        <v>9</v>
      </c>
      <c r="H214" s="6">
        <v>1768</v>
      </c>
      <c r="I214" s="8">
        <f t="shared" si="22"/>
        <v>294.66666666666669</v>
      </c>
      <c r="J214" s="6">
        <f t="shared" si="21"/>
        <v>2.4536199095022622</v>
      </c>
      <c r="K214" s="5"/>
      <c r="L214" s="5"/>
      <c r="M214" s="5"/>
    </row>
    <row r="215" spans="1:13" x14ac:dyDescent="0.3">
      <c r="A215" s="5" t="s">
        <v>589</v>
      </c>
      <c r="B215" s="5" t="s">
        <v>565</v>
      </c>
      <c r="C215" s="5">
        <v>18</v>
      </c>
      <c r="D215" s="6">
        <v>77.868799999999993</v>
      </c>
      <c r="E215" s="7">
        <f t="shared" si="19"/>
        <v>1401.6383999999998</v>
      </c>
      <c r="F215" s="5" t="s">
        <v>590</v>
      </c>
      <c r="G215" s="5" t="s">
        <v>9</v>
      </c>
      <c r="H215" s="6">
        <v>20</v>
      </c>
      <c r="I215" s="8">
        <f t="shared" si="22"/>
        <v>3.3333333333333335</v>
      </c>
      <c r="J215" s="6">
        <f t="shared" si="21"/>
        <v>5.3999999999999995</v>
      </c>
      <c r="K215" s="5"/>
      <c r="L215" s="5"/>
      <c r="M215" s="5"/>
    </row>
    <row r="216" spans="1:13" x14ac:dyDescent="0.3">
      <c r="A216" s="5" t="s">
        <v>591</v>
      </c>
      <c r="B216" s="5" t="s">
        <v>565</v>
      </c>
      <c r="C216" s="5">
        <v>543</v>
      </c>
      <c r="D216" s="6">
        <v>736.38373976000003</v>
      </c>
      <c r="E216" s="7">
        <f t="shared" si="19"/>
        <v>399856.37068967998</v>
      </c>
      <c r="F216" s="5" t="s">
        <v>592</v>
      </c>
      <c r="G216" s="5" t="s">
        <v>9</v>
      </c>
      <c r="H216" s="6">
        <v>752</v>
      </c>
      <c r="I216" s="8">
        <f t="shared" si="22"/>
        <v>125.33333333333333</v>
      </c>
      <c r="J216" s="6">
        <f t="shared" si="21"/>
        <v>4.3324468085106389</v>
      </c>
      <c r="K216" s="5"/>
      <c r="L216" s="5"/>
      <c r="M216" s="5"/>
    </row>
    <row r="217" spans="1:13" x14ac:dyDescent="0.3">
      <c r="A217" s="5" t="s">
        <v>593</v>
      </c>
      <c r="B217" s="5" t="s">
        <v>565</v>
      </c>
      <c r="C217" s="5">
        <v>1</v>
      </c>
      <c r="D217" s="6">
        <v>2513.1568449400002</v>
      </c>
      <c r="E217" s="7">
        <f t="shared" si="19"/>
        <v>2513.1568449400002</v>
      </c>
      <c r="F217" s="5" t="s">
        <v>594</v>
      </c>
      <c r="G217" s="5" t="s">
        <v>9</v>
      </c>
      <c r="H217" s="6">
        <v>26</v>
      </c>
      <c r="I217" s="8">
        <f t="shared" si="22"/>
        <v>4.333333333333333</v>
      </c>
      <c r="J217" s="6">
        <f t="shared" si="21"/>
        <v>0.23076923076923078</v>
      </c>
      <c r="K217" s="5"/>
      <c r="L217" s="5"/>
      <c r="M217" s="5"/>
    </row>
    <row r="218" spans="1:13" x14ac:dyDescent="0.3">
      <c r="A218" s="5" t="s">
        <v>595</v>
      </c>
      <c r="B218" s="5" t="s">
        <v>565</v>
      </c>
      <c r="C218" s="5">
        <v>1</v>
      </c>
      <c r="D218" s="6">
        <v>1908.2399</v>
      </c>
      <c r="E218" s="7">
        <f t="shared" si="19"/>
        <v>1908.2399</v>
      </c>
      <c r="F218" s="5" t="s">
        <v>596</v>
      </c>
      <c r="G218" s="5" t="s">
        <v>9</v>
      </c>
      <c r="H218" s="6">
        <v>4</v>
      </c>
      <c r="I218" s="8">
        <f t="shared" si="22"/>
        <v>0.66666666666666663</v>
      </c>
      <c r="J218" s="6">
        <f t="shared" si="21"/>
        <v>1.5</v>
      </c>
      <c r="K218" s="5"/>
      <c r="L218" s="5"/>
      <c r="M218" s="5"/>
    </row>
    <row r="219" spans="1:13" x14ac:dyDescent="0.3">
      <c r="A219" s="5" t="s">
        <v>597</v>
      </c>
      <c r="B219" s="5" t="s">
        <v>565</v>
      </c>
      <c r="C219" s="5">
        <v>528</v>
      </c>
      <c r="D219" s="6">
        <v>1884.1620686199999</v>
      </c>
      <c r="E219" s="7">
        <f t="shared" si="19"/>
        <v>994837.5722313599</v>
      </c>
      <c r="F219" s="5" t="s">
        <v>598</v>
      </c>
      <c r="G219" s="5" t="s">
        <v>9</v>
      </c>
      <c r="H219" s="6">
        <v>730</v>
      </c>
      <c r="I219" s="8">
        <f t="shared" si="22"/>
        <v>121.66666666666667</v>
      </c>
      <c r="J219" s="6">
        <f t="shared" si="21"/>
        <v>4.3397260273972602</v>
      </c>
      <c r="K219" s="5"/>
      <c r="L219" s="5"/>
      <c r="M219" s="5"/>
    </row>
    <row r="220" spans="1:13" x14ac:dyDescent="0.3">
      <c r="A220" s="5" t="s">
        <v>599</v>
      </c>
      <c r="B220" s="5" t="s">
        <v>565</v>
      </c>
      <c r="C220" s="5">
        <v>12</v>
      </c>
      <c r="D220" s="6">
        <v>2512.1152000000002</v>
      </c>
      <c r="E220" s="7">
        <f t="shared" si="19"/>
        <v>30145.382400000002</v>
      </c>
      <c r="F220" s="5" t="s">
        <v>600</v>
      </c>
      <c r="G220" s="5" t="s">
        <v>9</v>
      </c>
      <c r="H220" s="6">
        <v>13</v>
      </c>
      <c r="I220" s="8">
        <f t="shared" si="22"/>
        <v>2.1666666666666665</v>
      </c>
      <c r="J220" s="6">
        <f t="shared" si="21"/>
        <v>5.5384615384615392</v>
      </c>
      <c r="K220" s="5"/>
      <c r="L220" s="5"/>
      <c r="M220" s="5"/>
    </row>
    <row r="221" spans="1:13" x14ac:dyDescent="0.3">
      <c r="A221" s="5" t="s">
        <v>601</v>
      </c>
      <c r="B221" s="5" t="s">
        <v>565</v>
      </c>
      <c r="C221" s="5">
        <v>260</v>
      </c>
      <c r="D221" s="6">
        <v>3660.31788456</v>
      </c>
      <c r="E221" s="7">
        <f t="shared" si="19"/>
        <v>951682.64998560003</v>
      </c>
      <c r="F221" s="5" t="s">
        <v>602</v>
      </c>
      <c r="G221" s="5" t="s">
        <v>9</v>
      </c>
      <c r="H221" s="6">
        <v>303</v>
      </c>
      <c r="I221" s="8">
        <f t="shared" si="22"/>
        <v>50.5</v>
      </c>
      <c r="J221" s="6">
        <f t="shared" si="21"/>
        <v>5.1485148514851486</v>
      </c>
      <c r="K221" s="5"/>
      <c r="L221" s="5"/>
      <c r="M221" s="5"/>
    </row>
    <row r="222" spans="1:13" x14ac:dyDescent="0.3">
      <c r="A222" s="5" t="s">
        <v>603</v>
      </c>
      <c r="B222" s="5" t="s">
        <v>565</v>
      </c>
      <c r="C222" s="5">
        <v>10</v>
      </c>
      <c r="D222" s="6">
        <v>858.85537681999995</v>
      </c>
      <c r="E222" s="7">
        <f t="shared" si="19"/>
        <v>8588.5537681999995</v>
      </c>
      <c r="F222" s="5" t="s">
        <v>604</v>
      </c>
      <c r="G222" s="5" t="s">
        <v>9</v>
      </c>
      <c r="H222" s="6">
        <v>11</v>
      </c>
      <c r="I222" s="8">
        <f t="shared" si="22"/>
        <v>1.8333333333333333</v>
      </c>
      <c r="J222" s="6">
        <f t="shared" si="21"/>
        <v>5.454545454545455</v>
      </c>
      <c r="K222" s="5"/>
      <c r="L222" s="5"/>
      <c r="M222" s="5"/>
    </row>
    <row r="223" spans="1:13" x14ac:dyDescent="0.3">
      <c r="A223" s="5" t="s">
        <v>605</v>
      </c>
      <c r="B223" s="5" t="s">
        <v>565</v>
      </c>
      <c r="C223" s="5">
        <v>36</v>
      </c>
      <c r="D223" s="6">
        <v>1011.609</v>
      </c>
      <c r="E223" s="7">
        <f t="shared" si="19"/>
        <v>36417.923999999999</v>
      </c>
      <c r="F223" s="5" t="s">
        <v>606</v>
      </c>
      <c r="G223" s="5" t="s">
        <v>9</v>
      </c>
      <c r="H223" s="6">
        <v>205</v>
      </c>
      <c r="I223" s="8">
        <f t="shared" si="22"/>
        <v>34.166666666666664</v>
      </c>
      <c r="J223" s="6">
        <f t="shared" si="21"/>
        <v>1.0536585365853659</v>
      </c>
      <c r="K223" s="5"/>
      <c r="L223" s="5"/>
      <c r="M223" s="5"/>
    </row>
    <row r="224" spans="1:13" x14ac:dyDescent="0.3">
      <c r="A224" s="5" t="s">
        <v>607</v>
      </c>
      <c r="B224" s="5" t="s">
        <v>565</v>
      </c>
      <c r="C224" s="5">
        <v>66</v>
      </c>
      <c r="D224" s="6">
        <v>1550.3323024199999</v>
      </c>
      <c r="E224" s="7">
        <f t="shared" si="19"/>
        <v>102321.93195971999</v>
      </c>
      <c r="F224" s="5" t="s">
        <v>608</v>
      </c>
      <c r="G224" s="5" t="s">
        <v>9</v>
      </c>
      <c r="H224" s="6">
        <v>408</v>
      </c>
      <c r="I224" s="8">
        <f t="shared" si="22"/>
        <v>68</v>
      </c>
      <c r="J224" s="6">
        <f t="shared" si="21"/>
        <v>0.97058823529411764</v>
      </c>
      <c r="K224" s="5"/>
      <c r="L224" s="5"/>
      <c r="M224" s="5"/>
    </row>
    <row r="225" spans="1:13" x14ac:dyDescent="0.3">
      <c r="A225" s="5" t="s">
        <v>615</v>
      </c>
      <c r="B225" s="5" t="s">
        <v>565</v>
      </c>
      <c r="C225" s="5">
        <v>69</v>
      </c>
      <c r="D225" s="6">
        <v>128.08090000000001</v>
      </c>
      <c r="E225" s="7">
        <f t="shared" si="19"/>
        <v>8837.5821000000014</v>
      </c>
      <c r="F225" s="5" t="s">
        <v>616</v>
      </c>
      <c r="G225" s="5" t="s">
        <v>9</v>
      </c>
      <c r="H225" s="6">
        <v>3</v>
      </c>
      <c r="I225" s="8">
        <f t="shared" si="22"/>
        <v>0.5</v>
      </c>
      <c r="J225" s="6">
        <f t="shared" si="21"/>
        <v>138</v>
      </c>
      <c r="K225" s="5"/>
      <c r="L225" s="5"/>
      <c r="M225" s="5"/>
    </row>
    <row r="226" spans="1:13" x14ac:dyDescent="0.3">
      <c r="A226" s="5" t="s">
        <v>617</v>
      </c>
      <c r="B226" s="5" t="s">
        <v>565</v>
      </c>
      <c r="C226" s="5">
        <v>0</v>
      </c>
      <c r="D226" s="6">
        <v>0</v>
      </c>
      <c r="E226" s="7">
        <f t="shared" si="19"/>
        <v>0</v>
      </c>
      <c r="F226" s="5" t="s">
        <v>618</v>
      </c>
      <c r="G226" s="5" t="s">
        <v>9</v>
      </c>
      <c r="H226" s="6">
        <v>16</v>
      </c>
      <c r="I226" s="8">
        <f t="shared" si="22"/>
        <v>2.6666666666666665</v>
      </c>
      <c r="J226" s="6">
        <f t="shared" si="21"/>
        <v>0</v>
      </c>
      <c r="K226" s="5"/>
      <c r="L226" s="5"/>
      <c r="M226" s="5"/>
    </row>
    <row r="227" spans="1:13" x14ac:dyDescent="0.3">
      <c r="A227" s="5" t="s">
        <v>619</v>
      </c>
      <c r="B227" s="5" t="s">
        <v>620</v>
      </c>
      <c r="C227" s="5">
        <v>10</v>
      </c>
      <c r="D227" s="6">
        <v>49.136785709999998</v>
      </c>
      <c r="E227" s="7">
        <f t="shared" si="19"/>
        <v>491.36785709999998</v>
      </c>
      <c r="F227" s="5" t="s">
        <v>621</v>
      </c>
      <c r="G227" s="5" t="s">
        <v>9</v>
      </c>
      <c r="H227" s="6">
        <v>26</v>
      </c>
      <c r="I227" s="8">
        <f t="shared" si="22"/>
        <v>4.333333333333333</v>
      </c>
      <c r="J227" s="6">
        <f t="shared" si="21"/>
        <v>2.3076923076923079</v>
      </c>
      <c r="K227" s="5"/>
      <c r="L227" s="5"/>
      <c r="M227" s="5"/>
    </row>
    <row r="228" spans="1:13" x14ac:dyDescent="0.3">
      <c r="A228" s="5" t="s">
        <v>622</v>
      </c>
      <c r="B228" s="5" t="s">
        <v>623</v>
      </c>
      <c r="C228" s="5">
        <v>9</v>
      </c>
      <c r="D228" s="6">
        <v>3588.8993</v>
      </c>
      <c r="E228" s="7">
        <f t="shared" si="19"/>
        <v>32300.093700000001</v>
      </c>
      <c r="F228" s="5" t="s">
        <v>624</v>
      </c>
      <c r="G228" s="5" t="s">
        <v>9</v>
      </c>
      <c r="H228" s="6">
        <v>10</v>
      </c>
      <c r="I228" s="8">
        <f t="shared" si="22"/>
        <v>1.6666666666666667</v>
      </c>
      <c r="J228" s="6">
        <f t="shared" si="21"/>
        <v>5.3999999999999995</v>
      </c>
      <c r="K228" s="5"/>
      <c r="L228" s="18">
        <v>45972</v>
      </c>
      <c r="M228" s="5" t="s">
        <v>685</v>
      </c>
    </row>
    <row r="229" spans="1:13" x14ac:dyDescent="0.3">
      <c r="A229" s="5" t="s">
        <v>625</v>
      </c>
      <c r="B229" s="5" t="s">
        <v>623</v>
      </c>
      <c r="C229" s="5">
        <v>6</v>
      </c>
      <c r="D229" s="6">
        <v>4714.1576750000004</v>
      </c>
      <c r="E229" s="7">
        <f t="shared" si="19"/>
        <v>28284.946050000002</v>
      </c>
      <c r="F229" s="5" t="s">
        <v>626</v>
      </c>
      <c r="G229" s="5" t="s">
        <v>9</v>
      </c>
      <c r="H229" s="6">
        <v>18</v>
      </c>
      <c r="I229" s="8">
        <f t="shared" si="22"/>
        <v>3</v>
      </c>
      <c r="J229" s="6">
        <f t="shared" si="21"/>
        <v>2</v>
      </c>
      <c r="K229" s="5"/>
      <c r="L229" s="5"/>
      <c r="M229" s="5"/>
    </row>
    <row r="230" spans="1:13" x14ac:dyDescent="0.3">
      <c r="A230" s="5" t="s">
        <v>627</v>
      </c>
      <c r="B230" s="5" t="s">
        <v>623</v>
      </c>
      <c r="C230" s="5">
        <v>3</v>
      </c>
      <c r="D230" s="6">
        <v>5116.4624999999996</v>
      </c>
      <c r="E230" s="7">
        <f t="shared" si="19"/>
        <v>15349.387499999999</v>
      </c>
      <c r="F230" s="5" t="s">
        <v>628</v>
      </c>
      <c r="G230" s="5" t="s">
        <v>9</v>
      </c>
      <c r="H230" s="6">
        <v>21</v>
      </c>
      <c r="I230" s="8">
        <f t="shared" si="22"/>
        <v>3.5</v>
      </c>
      <c r="J230" s="6">
        <f t="shared" si="21"/>
        <v>0.8571428571428571</v>
      </c>
      <c r="K230" s="5"/>
      <c r="L230" s="5"/>
      <c r="M230" s="5"/>
    </row>
    <row r="231" spans="1:13" x14ac:dyDescent="0.3">
      <c r="A231" s="5" t="s">
        <v>629</v>
      </c>
      <c r="B231" s="5" t="s">
        <v>623</v>
      </c>
      <c r="C231" s="5">
        <v>19</v>
      </c>
      <c r="D231" s="6">
        <v>5086.8987578899996</v>
      </c>
      <c r="E231" s="7">
        <f t="shared" si="19"/>
        <v>96651.076399909987</v>
      </c>
      <c r="F231" s="5" t="s">
        <v>630</v>
      </c>
      <c r="G231" s="5" t="s">
        <v>9</v>
      </c>
      <c r="H231" s="6">
        <v>45</v>
      </c>
      <c r="I231" s="8">
        <f t="shared" si="22"/>
        <v>7.5</v>
      </c>
      <c r="J231" s="6">
        <f t="shared" si="21"/>
        <v>2.5333333333333332</v>
      </c>
      <c r="K231" s="5"/>
      <c r="L231" s="5"/>
      <c r="M231" s="5"/>
    </row>
    <row r="232" spans="1:13" x14ac:dyDescent="0.3">
      <c r="A232" s="5" t="s">
        <v>631</v>
      </c>
      <c r="B232" s="5" t="s">
        <v>623</v>
      </c>
      <c r="C232" s="5">
        <v>4</v>
      </c>
      <c r="D232" s="6">
        <v>5605.4069</v>
      </c>
      <c r="E232" s="7">
        <f t="shared" ref="E232:E247" si="23">+C232*D232</f>
        <v>22421.6276</v>
      </c>
      <c r="F232" s="5" t="s">
        <v>632</v>
      </c>
      <c r="G232" s="5" t="s">
        <v>9</v>
      </c>
      <c r="H232" s="6">
        <v>103</v>
      </c>
      <c r="I232" s="8">
        <f t="shared" si="22"/>
        <v>17.166666666666668</v>
      </c>
      <c r="J232" s="6">
        <f t="shared" ref="J232:J247" si="24">+C232/I232</f>
        <v>0.23300970873786406</v>
      </c>
      <c r="K232" s="5"/>
      <c r="L232" s="5"/>
      <c r="M232" s="5"/>
    </row>
    <row r="233" spans="1:13" x14ac:dyDescent="0.3">
      <c r="A233" s="5" t="s">
        <v>633</v>
      </c>
      <c r="B233" s="5" t="s">
        <v>623</v>
      </c>
      <c r="C233" s="5">
        <v>189</v>
      </c>
      <c r="D233" s="6">
        <v>2812.8449999999998</v>
      </c>
      <c r="E233" s="7">
        <f t="shared" si="23"/>
        <v>531627.70499999996</v>
      </c>
      <c r="F233" s="5" t="s">
        <v>634</v>
      </c>
      <c r="G233" s="5" t="s">
        <v>9</v>
      </c>
      <c r="H233" s="6">
        <v>429</v>
      </c>
      <c r="I233" s="8">
        <f t="shared" si="22"/>
        <v>71.5</v>
      </c>
      <c r="J233" s="6">
        <f t="shared" si="24"/>
        <v>2.6433566433566433</v>
      </c>
      <c r="K233" s="5"/>
      <c r="L233" s="5"/>
      <c r="M233" s="5"/>
    </row>
    <row r="234" spans="1:13" x14ac:dyDescent="0.3">
      <c r="A234" s="5" t="s">
        <v>635</v>
      </c>
      <c r="B234" s="5" t="s">
        <v>623</v>
      </c>
      <c r="C234" s="5">
        <v>22</v>
      </c>
      <c r="D234" s="6">
        <v>4323.5532999999996</v>
      </c>
      <c r="E234" s="7">
        <f t="shared" si="23"/>
        <v>95118.172599999991</v>
      </c>
      <c r="F234" s="5" t="s">
        <v>636</v>
      </c>
      <c r="G234" s="5" t="s">
        <v>9</v>
      </c>
      <c r="H234" s="6">
        <v>116</v>
      </c>
      <c r="I234" s="8">
        <f t="shared" si="22"/>
        <v>19.333333333333332</v>
      </c>
      <c r="J234" s="6">
        <f t="shared" si="24"/>
        <v>1.1379310344827587</v>
      </c>
      <c r="K234" s="5"/>
      <c r="L234" s="5"/>
      <c r="M234" s="5"/>
    </row>
    <row r="235" spans="1:13" x14ac:dyDescent="0.3">
      <c r="A235" s="5" t="s">
        <v>637</v>
      </c>
      <c r="B235" s="5" t="s">
        <v>623</v>
      </c>
      <c r="C235" s="5">
        <v>308</v>
      </c>
      <c r="D235" s="6">
        <v>2982.7827911499999</v>
      </c>
      <c r="E235" s="7">
        <f t="shared" si="23"/>
        <v>918697.09967419994</v>
      </c>
      <c r="F235" s="5" t="s">
        <v>638</v>
      </c>
      <c r="G235" s="5" t="s">
        <v>9</v>
      </c>
      <c r="H235" s="6">
        <v>643</v>
      </c>
      <c r="I235" s="8">
        <f t="shared" si="22"/>
        <v>107.16666666666667</v>
      </c>
      <c r="J235" s="6">
        <f t="shared" si="24"/>
        <v>2.8740279937791602</v>
      </c>
      <c r="K235" s="5"/>
      <c r="L235" s="5"/>
      <c r="M235" s="5"/>
    </row>
    <row r="236" spans="1:13" x14ac:dyDescent="0.3">
      <c r="A236" s="5" t="s">
        <v>639</v>
      </c>
      <c r="B236" s="5" t="s">
        <v>640</v>
      </c>
      <c r="C236" s="5">
        <v>24</v>
      </c>
      <c r="D236" s="6">
        <v>65.519387760000001</v>
      </c>
      <c r="E236" s="7">
        <f t="shared" si="23"/>
        <v>1572.46530624</v>
      </c>
      <c r="F236" s="5" t="s">
        <v>641</v>
      </c>
      <c r="G236" s="5" t="s">
        <v>9</v>
      </c>
      <c r="H236" s="6">
        <v>52</v>
      </c>
      <c r="I236" s="8">
        <f t="shared" si="22"/>
        <v>8.6666666666666661</v>
      </c>
      <c r="J236" s="6">
        <f t="shared" si="24"/>
        <v>2.7692307692307696</v>
      </c>
      <c r="K236" s="5"/>
      <c r="L236" s="5"/>
      <c r="M236" s="5"/>
    </row>
    <row r="237" spans="1:13" x14ac:dyDescent="0.3">
      <c r="A237" s="5" t="s">
        <v>642</v>
      </c>
      <c r="B237" s="5" t="s">
        <v>640</v>
      </c>
      <c r="C237" s="5">
        <v>50</v>
      </c>
      <c r="D237" s="6">
        <v>55.17</v>
      </c>
      <c r="E237" s="7">
        <f t="shared" si="23"/>
        <v>2758.5</v>
      </c>
      <c r="F237" s="5" t="s">
        <v>643</v>
      </c>
      <c r="G237" s="5" t="s">
        <v>9</v>
      </c>
      <c r="H237" s="6">
        <v>91</v>
      </c>
      <c r="I237" s="8">
        <f t="shared" si="22"/>
        <v>15.166666666666666</v>
      </c>
      <c r="J237" s="6">
        <f t="shared" si="24"/>
        <v>3.296703296703297</v>
      </c>
      <c r="K237" s="5"/>
      <c r="L237" s="5"/>
      <c r="M237" s="5"/>
    </row>
    <row r="238" spans="1:13" x14ac:dyDescent="0.3">
      <c r="A238" s="5" t="s">
        <v>644</v>
      </c>
      <c r="B238" s="5" t="s">
        <v>640</v>
      </c>
      <c r="C238" s="5">
        <v>41</v>
      </c>
      <c r="D238" s="6">
        <v>55.170000010000003</v>
      </c>
      <c r="E238" s="7">
        <f t="shared" si="23"/>
        <v>2261.97000041</v>
      </c>
      <c r="F238" s="5" t="s">
        <v>645</v>
      </c>
      <c r="G238" s="5" t="s">
        <v>9</v>
      </c>
      <c r="H238" s="6">
        <v>82</v>
      </c>
      <c r="I238" s="8">
        <f t="shared" si="22"/>
        <v>13.666666666666666</v>
      </c>
      <c r="J238" s="6">
        <f t="shared" si="24"/>
        <v>3</v>
      </c>
      <c r="K238" s="5"/>
      <c r="L238" s="5"/>
      <c r="M238" s="5"/>
    </row>
    <row r="239" spans="1:13" x14ac:dyDescent="0.3">
      <c r="A239" s="5" t="s">
        <v>646</v>
      </c>
      <c r="B239" s="5" t="s">
        <v>640</v>
      </c>
      <c r="C239" s="5">
        <v>22</v>
      </c>
      <c r="D239" s="6">
        <v>65.52</v>
      </c>
      <c r="E239" s="7">
        <f t="shared" si="23"/>
        <v>1441.4399999999998</v>
      </c>
      <c r="F239" s="5" t="s">
        <v>647</v>
      </c>
      <c r="G239" s="5" t="s">
        <v>9</v>
      </c>
      <c r="H239" s="6">
        <v>38</v>
      </c>
      <c r="I239" s="8">
        <f t="shared" si="22"/>
        <v>6.333333333333333</v>
      </c>
      <c r="J239" s="6">
        <f t="shared" si="24"/>
        <v>3.4736842105263159</v>
      </c>
      <c r="K239" s="5"/>
      <c r="L239" s="5"/>
      <c r="M239" s="5"/>
    </row>
    <row r="240" spans="1:13" x14ac:dyDescent="0.3">
      <c r="A240" s="5" t="s">
        <v>648</v>
      </c>
      <c r="B240" s="5" t="s">
        <v>640</v>
      </c>
      <c r="C240" s="5">
        <v>25</v>
      </c>
      <c r="D240" s="6">
        <v>65.510000000000005</v>
      </c>
      <c r="E240" s="7">
        <f t="shared" si="23"/>
        <v>1637.7500000000002</v>
      </c>
      <c r="F240" s="5" t="s">
        <v>649</v>
      </c>
      <c r="G240" s="5" t="s">
        <v>9</v>
      </c>
      <c r="H240" s="6">
        <v>140</v>
      </c>
      <c r="I240" s="8">
        <f t="shared" si="22"/>
        <v>23.333333333333332</v>
      </c>
      <c r="J240" s="6">
        <f t="shared" si="24"/>
        <v>1.0714285714285714</v>
      </c>
      <c r="K240" s="5"/>
      <c r="L240" s="5"/>
      <c r="M240" s="5"/>
    </row>
    <row r="241" spans="1:13" x14ac:dyDescent="0.3">
      <c r="A241" s="5" t="s">
        <v>650</v>
      </c>
      <c r="B241" s="5" t="s">
        <v>640</v>
      </c>
      <c r="C241" s="5">
        <v>41</v>
      </c>
      <c r="D241" s="6">
        <v>23.240352290000001</v>
      </c>
      <c r="E241" s="7">
        <f t="shared" si="23"/>
        <v>952.85444388999997</v>
      </c>
      <c r="F241" s="5" t="s">
        <v>651</v>
      </c>
      <c r="G241" s="5" t="s">
        <v>9</v>
      </c>
      <c r="H241" s="6">
        <v>221</v>
      </c>
      <c r="I241" s="8">
        <f t="shared" si="22"/>
        <v>36.833333333333336</v>
      </c>
      <c r="J241" s="6">
        <f t="shared" si="24"/>
        <v>1.1131221719457012</v>
      </c>
      <c r="K241" s="5"/>
      <c r="L241" s="5"/>
      <c r="M241" s="5"/>
    </row>
    <row r="242" spans="1:13" x14ac:dyDescent="0.3">
      <c r="A242" s="5" t="s">
        <v>652</v>
      </c>
      <c r="B242" s="5" t="s">
        <v>640</v>
      </c>
      <c r="C242" s="5">
        <v>16</v>
      </c>
      <c r="D242" s="6">
        <v>13.72363636</v>
      </c>
      <c r="E242" s="7">
        <f t="shared" si="23"/>
        <v>219.57818176000001</v>
      </c>
      <c r="F242" s="5" t="s">
        <v>653</v>
      </c>
      <c r="G242" s="5" t="s">
        <v>9</v>
      </c>
      <c r="H242" s="6">
        <v>20</v>
      </c>
      <c r="I242" s="8">
        <f>+H242/5</f>
        <v>4</v>
      </c>
      <c r="J242" s="6">
        <f t="shared" si="24"/>
        <v>4</v>
      </c>
      <c r="K242" s="5"/>
      <c r="L242" s="5"/>
      <c r="M242" s="5"/>
    </row>
    <row r="243" spans="1:13" x14ac:dyDescent="0.3">
      <c r="A243" s="5" t="s">
        <v>654</v>
      </c>
      <c r="B243" s="5" t="s">
        <v>640</v>
      </c>
      <c r="C243" s="5">
        <v>41</v>
      </c>
      <c r="D243" s="6">
        <v>23.268567310000002</v>
      </c>
      <c r="E243" s="7">
        <f t="shared" si="23"/>
        <v>954.0112597100001</v>
      </c>
      <c r="F243" s="5" t="s">
        <v>655</v>
      </c>
      <c r="G243" s="5" t="s">
        <v>9</v>
      </c>
      <c r="H243" s="6">
        <v>285</v>
      </c>
      <c r="I243" s="8">
        <f t="shared" ref="I243:I247" si="25">+H243/6</f>
        <v>47.5</v>
      </c>
      <c r="J243" s="6">
        <f t="shared" si="24"/>
        <v>0.86315789473684212</v>
      </c>
      <c r="K243" s="5"/>
      <c r="L243" s="5"/>
      <c r="M243" s="5"/>
    </row>
    <row r="244" spans="1:13" x14ac:dyDescent="0.3">
      <c r="A244" s="5" t="s">
        <v>656</v>
      </c>
      <c r="B244" s="5" t="s">
        <v>640</v>
      </c>
      <c r="C244" s="5">
        <v>16</v>
      </c>
      <c r="D244" s="6">
        <v>14.23776398</v>
      </c>
      <c r="E244" s="7">
        <f t="shared" si="23"/>
        <v>227.80422368000001</v>
      </c>
      <c r="F244" s="5" t="s">
        <v>657</v>
      </c>
      <c r="G244" s="5" t="s">
        <v>9</v>
      </c>
      <c r="H244" s="6">
        <v>32</v>
      </c>
      <c r="I244" s="8">
        <f t="shared" si="25"/>
        <v>5.333333333333333</v>
      </c>
      <c r="J244" s="6">
        <f t="shared" si="24"/>
        <v>3</v>
      </c>
      <c r="K244" s="5"/>
      <c r="L244" s="5"/>
      <c r="M244" s="5"/>
    </row>
    <row r="245" spans="1:13" x14ac:dyDescent="0.3">
      <c r="A245" s="5" t="s">
        <v>658</v>
      </c>
      <c r="B245" s="5" t="s">
        <v>640</v>
      </c>
      <c r="C245" s="5">
        <v>5</v>
      </c>
      <c r="D245" s="6">
        <v>68.103800000000007</v>
      </c>
      <c r="E245" s="7">
        <f t="shared" si="23"/>
        <v>340.51900000000001</v>
      </c>
      <c r="F245" s="5" t="s">
        <v>659</v>
      </c>
      <c r="G245" s="5" t="s">
        <v>9</v>
      </c>
      <c r="H245" s="6">
        <v>5</v>
      </c>
      <c r="I245" s="8">
        <f t="shared" si="25"/>
        <v>0.83333333333333337</v>
      </c>
      <c r="J245" s="6">
        <f t="shared" si="24"/>
        <v>6</v>
      </c>
      <c r="K245" s="5"/>
      <c r="L245" s="5"/>
      <c r="M245" s="5"/>
    </row>
    <row r="246" spans="1:13" x14ac:dyDescent="0.3">
      <c r="A246" s="5" t="s">
        <v>660</v>
      </c>
      <c r="B246" s="5" t="s">
        <v>640</v>
      </c>
      <c r="C246" s="5">
        <v>2</v>
      </c>
      <c r="D246" s="6">
        <v>27.268181819999999</v>
      </c>
      <c r="E246" s="7">
        <f t="shared" si="23"/>
        <v>54.536363639999998</v>
      </c>
      <c r="F246" s="5" t="s">
        <v>661</v>
      </c>
      <c r="G246" s="5" t="s">
        <v>9</v>
      </c>
      <c r="H246" s="6">
        <v>12</v>
      </c>
      <c r="I246" s="8">
        <f t="shared" si="25"/>
        <v>2</v>
      </c>
      <c r="J246" s="6">
        <f t="shared" si="24"/>
        <v>1</v>
      </c>
      <c r="K246" s="5"/>
      <c r="L246" s="5"/>
      <c r="M246" s="5"/>
    </row>
    <row r="247" spans="1:13" x14ac:dyDescent="0.3">
      <c r="A247" s="5" t="s">
        <v>662</v>
      </c>
      <c r="B247" s="5" t="s">
        <v>640</v>
      </c>
      <c r="C247" s="5">
        <v>2</v>
      </c>
      <c r="D247" s="6">
        <v>113.57739583</v>
      </c>
      <c r="E247" s="7">
        <f t="shared" si="23"/>
        <v>227.15479166</v>
      </c>
      <c r="F247" s="5" t="s">
        <v>663</v>
      </c>
      <c r="G247" s="5" t="s">
        <v>9</v>
      </c>
      <c r="H247" s="6">
        <v>5</v>
      </c>
      <c r="I247" s="8">
        <f t="shared" si="25"/>
        <v>0.83333333333333337</v>
      </c>
      <c r="J247" s="6">
        <f t="shared" si="24"/>
        <v>2.4</v>
      </c>
      <c r="K247" s="5"/>
      <c r="L247" s="5"/>
      <c r="M247" s="5"/>
    </row>
    <row r="248" spans="1:13" x14ac:dyDescent="0.3">
      <c r="D248" s="4"/>
      <c r="E248" s="19">
        <f>SUM(E2:E247)</f>
        <v>39616634.581963815</v>
      </c>
    </row>
    <row r="249" spans="1:13" x14ac:dyDescent="0.3">
      <c r="D249" s="4"/>
    </row>
    <row r="250" spans="1:13" x14ac:dyDescent="0.3">
      <c r="D250" s="6"/>
      <c r="E250" s="3">
        <v>39616635</v>
      </c>
      <c r="F250" s="23">
        <f>+E250/E248</f>
        <v>1.0000000105520368</v>
      </c>
    </row>
    <row r="257" spans="5:5" x14ac:dyDescent="0.3">
      <c r="E257" s="20"/>
    </row>
    <row r="261" spans="5:5" x14ac:dyDescent="0.3">
      <c r="E261" s="21"/>
    </row>
  </sheetData>
  <autoFilter ref="A1:T248" xr:uid="{9D68D1D7-91A9-44A6-8EAB-A8B67A6238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Mar2025 a Feb2026</vt:lpstr>
      <vt:lpstr>12 Meses</vt:lpstr>
      <vt:lpstr>Sep2025 a Feb2026</vt:lpstr>
      <vt:lpstr>6 Meses</vt:lpstr>
      <vt:lpstr>Info junta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BDEC0108</dc:creator>
  <cp:lastModifiedBy>Luis Hernández</cp:lastModifiedBy>
  <dcterms:created xsi:type="dcterms:W3CDTF">2026-03-02T13:47:00Z</dcterms:created>
  <dcterms:modified xsi:type="dcterms:W3CDTF">2026-04-06T14:11:18Z</dcterms:modified>
</cp:coreProperties>
</file>